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ssumptions" sheetId="2" state="visible" r:id="rId2"/>
    <sheet xmlns:r="http://schemas.openxmlformats.org/officeDocument/2006/relationships" name="Historical Financials" sheetId="3" state="visible" r:id="rId3"/>
    <sheet xmlns:r="http://schemas.openxmlformats.org/officeDocument/2006/relationships" name="Operating Forecast" sheetId="4" state="visible" r:id="rId4"/>
    <sheet xmlns:r="http://schemas.openxmlformats.org/officeDocument/2006/relationships" name="SaaS Metrics" sheetId="5" state="visible" r:id="rId5"/>
    <sheet xmlns:r="http://schemas.openxmlformats.org/officeDocument/2006/relationships" name="Capital Structures" sheetId="6" state="visible" r:id="rId6"/>
    <sheet xmlns:r="http://schemas.openxmlformats.org/officeDocument/2006/relationships" name="Growth Equity Case" sheetId="7" state="visible" r:id="rId7"/>
    <sheet xmlns:r="http://schemas.openxmlformats.org/officeDocument/2006/relationships" name="Private Credit Case" sheetId="8" state="visible" r:id="rId8"/>
    <sheet xmlns:r="http://schemas.openxmlformats.org/officeDocument/2006/relationships" name="Blended Capital Case" sheetId="9" state="visible" r:id="rId9"/>
    <sheet xmlns:r="http://schemas.openxmlformats.org/officeDocument/2006/relationships" name="Debt Schedule" sheetId="10" state="visible" r:id="rId10"/>
    <sheet xmlns:r="http://schemas.openxmlformats.org/officeDocument/2006/relationships" name="Returns Analysis" sheetId="11" state="visible" r:id="rId11"/>
    <sheet xmlns:r="http://schemas.openxmlformats.org/officeDocument/2006/relationships" name="Sensitivities" sheetId="12" state="visible" r:id="rId12"/>
    <sheet xmlns:r="http://schemas.openxmlformats.org/officeDocument/2006/relationships" name="Downside Case" sheetId="13" state="visible" r:id="rId13"/>
    <sheet xmlns:r="http://schemas.openxmlformats.org/officeDocument/2006/relationships" name="Sources and Disclosures" sheetId="14" state="visible" r:id="rId14"/>
  </sheets>
  <definedNames/>
  <calcPr calcId="124519" fullCalcOnLoad="1"/>
</workbook>
</file>

<file path=xl/styles.xml><?xml version="1.0" encoding="utf-8"?>
<styleSheet xmlns="http://schemas.openxmlformats.org/spreadsheetml/2006/main">
  <numFmts count="4">
    <numFmt numFmtId="164" formatCode="#,##0.00;(#,##0.00)"/>
    <numFmt numFmtId="165" formatCode="0.0%;(0.0%)"/>
    <numFmt numFmtId="166" formatCode="0.00&quot;x&quot;"/>
    <numFmt numFmtId="167" formatCode="0.0"/>
  </numFmts>
  <fonts count="10">
    <font>
      <name val="Calibri"/>
      <family val="2"/>
      <color theme="1"/>
      <sz val="11"/>
      <scheme val="minor"/>
    </font>
    <font>
      <name val="Calibri"/>
      <b val="1"/>
      <color rgb="000F141C"/>
      <sz val="16"/>
    </font>
    <font>
      <name val="Calibri"/>
      <i val="1"/>
      <color rgb="005B6878"/>
      <sz val="10"/>
    </font>
    <font>
      <name val="Calibri"/>
      <b val="1"/>
      <color rgb="00FFFFFF"/>
      <sz val="10"/>
    </font>
    <font>
      <name val="Calibri"/>
      <color rgb="000F141C"/>
      <sz val="10"/>
    </font>
    <font>
      <name val="Calibri"/>
      <b val="1"/>
      <color rgb="000F5F66"/>
      <sz val="11"/>
    </font>
    <font>
      <name val="Calibri"/>
      <b val="1"/>
      <color rgb="007A4E00"/>
      <sz val="10"/>
    </font>
    <font>
      <name val="Calibri"/>
      <b val="1"/>
      <color rgb="000F141C"/>
      <sz val="10"/>
    </font>
    <font>
      <name val="Calibri"/>
      <i val="1"/>
      <color rgb="005B6878"/>
      <sz val="9"/>
    </font>
    <font>
      <name val="Calibri"/>
      <b val="1"/>
      <i val="1"/>
      <color rgb="009C4221"/>
      <sz val="10"/>
    </font>
  </fonts>
  <fills count="5">
    <fill>
      <patternFill/>
    </fill>
    <fill>
      <patternFill patternType="gray125"/>
    </fill>
    <fill>
      <patternFill patternType="solid">
        <fgColor rgb="001A2230"/>
      </patternFill>
    </fill>
    <fill>
      <patternFill patternType="solid">
        <fgColor rgb="00FFF7E0"/>
      </patternFill>
    </fill>
    <fill>
      <patternFill patternType="solid">
        <fgColor rgb="00E8EEF3"/>
      </patternFill>
    </fill>
  </fills>
  <borders count="7">
    <border>
      <left/>
      <right/>
      <top/>
      <bottom/>
      <diagonal/>
    </border>
    <border/>
    <border>
      <bottom style="medium">
        <color rgb="008895A5"/>
      </bottom>
    </border>
    <border>
      <bottom style="thin">
        <color rgb="00C9D2DC"/>
      </bottom>
    </border>
    <border>
      <left style="thin">
        <color rgb="00C9D2DC"/>
      </left>
      <right style="thin">
        <color rgb="00C9D2DC"/>
      </right>
      <top style="thin">
        <color rgb="00C9D2DC"/>
      </top>
      <bottom style="thin">
        <color rgb="00C9D2DC"/>
      </bottom>
    </border>
    <border>
      <top style="thin">
        <color rgb="00C9D2DC"/>
      </top>
      <bottom style="medium">
        <color rgb="008895A5"/>
      </bottom>
    </border>
    <border>
      <left/>
      <right/>
      <top/>
      <bottom style="thin">
        <color rgb="00C9D2DC"/>
      </bottom>
      <diagonal/>
    </border>
  </borders>
  <cellStyleXfs count="11">
    <xf numFmtId="0" fontId="0" fillId="0" borderId="0"/>
    <xf numFmtId="0" fontId="1" fillId="0" borderId="1"/>
    <xf numFmtId="0" fontId="2" fillId="0" borderId="1"/>
    <xf numFmtId="0" fontId="3" fillId="2" borderId="2" applyAlignment="1">
      <alignment horizontal="center" vertical="center" wrapText="1"/>
    </xf>
    <xf numFmtId="0" fontId="4" fillId="0" borderId="1" applyAlignment="1">
      <alignment horizontal="left" vertical="center" wrapText="1"/>
    </xf>
    <xf numFmtId="0" fontId="5" fillId="0" borderId="3"/>
    <xf numFmtId="0" fontId="6" fillId="3" borderId="4" applyAlignment="1">
      <alignment horizontal="right"/>
    </xf>
    <xf numFmtId="0" fontId="4" fillId="0" borderId="1" applyAlignment="1">
      <alignment horizontal="right"/>
    </xf>
    <xf numFmtId="0" fontId="7" fillId="4" borderId="5" applyAlignment="1">
      <alignment horizontal="right"/>
    </xf>
    <xf numFmtId="0" fontId="8" fillId="0" borderId="1" applyAlignment="1">
      <alignment vertical="top" wrapText="1"/>
    </xf>
    <xf numFmtId="0" fontId="4" fillId="0" borderId="1" applyAlignment="1">
      <alignment vertical="top" wrapText="1"/>
    </xf>
  </cellStyleXfs>
  <cellXfs count="28">
    <xf numFmtId="0" fontId="0" fillId="0" borderId="0" pivotButton="0" quotePrefix="0" xfId="0"/>
    <xf numFmtId="0" fontId="1" fillId="0" borderId="1" pivotButton="0" quotePrefix="0" xfId="1"/>
    <xf numFmtId="0" fontId="2" fillId="0" borderId="1" pivotButton="0" quotePrefix="0" xfId="2"/>
    <xf numFmtId="0" fontId="5" fillId="0" borderId="3" pivotButton="0" quotePrefix="0" xfId="5"/>
    <xf numFmtId="0" fontId="4" fillId="0" borderId="1" applyAlignment="1" pivotButton="0" quotePrefix="0" xfId="10">
      <alignment vertical="top" wrapText="1"/>
    </xf>
    <xf numFmtId="0" fontId="9" fillId="0" borderId="1" pivotButton="0" quotePrefix="0" xfId="2"/>
    <xf numFmtId="0" fontId="0" fillId="0" borderId="6" pivotButton="0" quotePrefix="0" xfId="0"/>
    <xf numFmtId="0" fontId="4" fillId="0" borderId="1" applyAlignment="1" pivotButton="0" quotePrefix="0" xfId="4">
      <alignment horizontal="left" vertical="center" wrapText="1"/>
    </xf>
    <xf numFmtId="164" fontId="6" fillId="3" borderId="4" applyAlignment="1" pivotButton="0" quotePrefix="0" xfId="6">
      <alignment horizontal="right"/>
    </xf>
    <xf numFmtId="165" fontId="6" fillId="3" borderId="4" applyAlignment="1" pivotButton="0" quotePrefix="0" xfId="6">
      <alignment horizontal="right"/>
    </xf>
    <xf numFmtId="3" fontId="6" fillId="3" borderId="4" applyAlignment="1" pivotButton="0" quotePrefix="0" xfId="6">
      <alignment horizontal="right"/>
    </xf>
    <xf numFmtId="166" fontId="6" fillId="3" borderId="4" applyAlignment="1" pivotButton="0" quotePrefix="0" xfId="6">
      <alignment horizontal="right"/>
    </xf>
    <xf numFmtId="0" fontId="3" fillId="2" borderId="2" applyAlignment="1" pivotButton="0" quotePrefix="0" xfId="3">
      <alignment horizontal="center" vertical="center" wrapText="1"/>
    </xf>
    <xf numFmtId="0" fontId="8" fillId="0" borderId="1" applyAlignment="1" pivotButton="0" quotePrefix="0" xfId="9">
      <alignment vertical="top" wrapText="1"/>
    </xf>
    <xf numFmtId="164" fontId="4" fillId="0" borderId="1" applyAlignment="1" pivotButton="0" quotePrefix="0" xfId="7">
      <alignment horizontal="right"/>
    </xf>
    <xf numFmtId="0" fontId="4" fillId="0" borderId="1" applyAlignment="1" pivotButton="0" quotePrefix="0" xfId="7">
      <alignment horizontal="right"/>
    </xf>
    <xf numFmtId="165" fontId="4" fillId="0" borderId="1" applyAlignment="1" pivotButton="0" quotePrefix="0" xfId="7">
      <alignment horizontal="right"/>
    </xf>
    <xf numFmtId="164" fontId="7" fillId="4" borderId="5" applyAlignment="1" pivotButton="0" quotePrefix="0" xfId="8">
      <alignment horizontal="right"/>
    </xf>
    <xf numFmtId="3" fontId="4" fillId="0" borderId="1" applyAlignment="1" pivotButton="0" quotePrefix="0" xfId="7">
      <alignment horizontal="right"/>
    </xf>
    <xf numFmtId="0" fontId="4" fillId="4" borderId="1" applyAlignment="1" pivotButton="0" quotePrefix="0" xfId="4">
      <alignment horizontal="left" vertical="center" wrapText="1"/>
    </xf>
    <xf numFmtId="3" fontId="7" fillId="4" borderId="5" applyAlignment="1" pivotButton="0" quotePrefix="0" xfId="8">
      <alignment horizontal="right"/>
    </xf>
    <xf numFmtId="167" fontId="4" fillId="0" borderId="1" applyAlignment="1" pivotButton="0" quotePrefix="0" xfId="7">
      <alignment horizontal="right"/>
    </xf>
    <xf numFmtId="166" fontId="4" fillId="0" borderId="1" applyAlignment="1" pivotButton="0" quotePrefix="0" xfId="7">
      <alignment horizontal="right"/>
    </xf>
    <xf numFmtId="1" fontId="7" fillId="4" borderId="5" applyAlignment="1" pivotButton="0" quotePrefix="0" xfId="8">
      <alignment horizontal="right"/>
    </xf>
    <xf numFmtId="165" fontId="7" fillId="4" borderId="5" applyAlignment="1" pivotButton="0" quotePrefix="0" xfId="8">
      <alignment horizontal="right"/>
    </xf>
    <xf numFmtId="166" fontId="7" fillId="4" borderId="5" applyAlignment="1" pivotButton="0" quotePrefix="0" xfId="8">
      <alignment horizontal="right"/>
    </xf>
    <xf numFmtId="0" fontId="7" fillId="4" borderId="5" applyAlignment="1" pivotButton="0" quotePrefix="0" xfId="8">
      <alignment horizontal="right"/>
    </xf>
    <xf numFmtId="167" fontId="7" fillId="4" borderId="5" applyAlignment="1" pivotButton="0" quotePrefix="0" xfId="8">
      <alignment horizontal="right"/>
    </xf>
  </cellXfs>
  <cellStyles count="11">
    <cellStyle name="Normal" xfId="0" builtinId="0" hidden="0"/>
    <cellStyle name="title" xfId="1" hidden="0"/>
    <cellStyle name="sub" xfId="2" hidden="0"/>
    <cellStyle name="hdr" xfId="3" hidden="0"/>
    <cellStyle name="lbl" xfId="4" hidden="0"/>
    <cellStyle name="sec" xfId="5" hidden="0"/>
    <cellStyle name="inp" xfId="6" hidden="0"/>
    <cellStyle name="calc" xfId="7" hidden="0"/>
    <cellStyle name="tot" xfId="8" hidden="0"/>
    <cellStyle name="note" xfId="9" hidden="0"/>
    <cellStyle name="body" xfId="10" hidden="0"/>
  </cellStyles>
  <dxfs count="3">
    <dxf>
      <font>
        <color rgb="009B1C1C"/>
      </font>
    </dxf>
    <dxf>
      <font>
        <b val="1"/>
        <color rgb="009B1C1C"/>
      </font>
    </dxf>
    <dxf>
      <font>
        <b val="1"/>
        <color rgb="009B1C1C"/>
      </font>
      <fill>
        <patternFill patternType="solid">
          <bgColor rgb="00FD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Model guide</author>
  </authors>
  <commentList>
    <comment ref="B6" authorId="0" shapeId="0">
      <text>
        <t>Starting annual recurring revenue. Drives the entire ARR bridge on the Operating Forecast sheet.</t>
      </text>
    </comment>
    <comment ref="B7" authorId="0" shapeId="0">
      <text>
        <t>Year one growth. Later years step down by the growth decay below.</t>
      </text>
    </comment>
    <comment ref="B8" authorId="0" shapeId="0">
      <text>
        <t>Subtracted from the growth rate each year. Set to 0 to hold growth flat.</t>
      </text>
    </comment>
    <comment ref="B9" authorId="0" shapeId="0">
      <text>
        <t>Expansion less churn within the existing base. Raising this lowers the New ARR the sales team must win.</t>
      </text>
    </comment>
    <comment ref="B10" authorId="0" shapeId="0">
      <text>
        <t>Share of beginning ARR retained before expansion. 1 less this figure is the churn rate.</t>
      </text>
    </comment>
    <comment ref="B11" authorId="0" shapeId="0">
      <text>
        <t>Applied to revenue to give gross profit.</t>
      </text>
    </comment>
    <comment ref="B13" authorId="0" shapeId="0">
      <text>
        <t>Working capital source from customers paying annually in advance as ARR grows.</t>
      </text>
    </comment>
    <comment ref="B15" authorId="0" shapeId="0">
      <text>
        <t>Refinanced in full at close in every structure.</t>
      </text>
    </comment>
    <comment ref="B17" authorId="0" shapeId="0">
      <text>
        <t>New customers are won at a higher average contract value than the existing base average.</t>
      </text>
    </comment>
    <comment ref="B28" authorId="0" shapeId="0">
      <text>
        <t>Pre-money valuation equals this multiple times beginning ARR.</t>
      </text>
    </comment>
    <comment ref="B29" authorId="0" shapeId="0">
      <text>
        <t>Applied to year five ending ARR. Sensitised on the Sensitivities sheet.</t>
      </text>
    </comment>
    <comment ref="B30" authorId="0" shapeId="0">
      <text>
        <t>Cash balances below this level are flagged red on the case sheets.</t>
      </text>
    </comment>
    <comment ref="B38" authorId="0" shapeId="0">
      <text>
        <t>Optional. PIK accretes to the balance rather than being paid in cash. Set above zero to test it.</t>
      </text>
    </comment>
    <comment ref="B39" authorId="0" shapeId="0">
      <text>
        <t>Reduces net proceeds at close and raises the lender return.</t>
      </text>
    </comment>
    <comment ref="B59" authorId="0" shapeId="0">
      <text>
        <t>Sales and marketing does not fall as quickly when growth disappoints.</t>
      </text>
    </comment>
  </commentList>
</comments>
</file>

<file path=xl/comments/comment2.xml><?xml version="1.0" encoding="utf-8"?>
<comments xmlns="http://schemas.openxmlformats.org/spreadsheetml/2006/main">
  <authors>
    <author>Model guide</author>
  </authors>
  <commentList>
    <comment ref="B9" authorId="0" shapeId="0">
      <text>
        <t>New ARR is a residual, not an input. It equals the ending ARR the growth target implies, less the ARR the existing base retains after churn and expansion. Lowering net revenue retention raises the New ARR the sales team must win to hit the same target.</t>
      </text>
    </comment>
  </commentList>
</comments>
</file>

<file path=xl/comments/comment3.xml><?xml version="1.0" encoding="utf-8"?>
<comments xmlns="http://schemas.openxmlformats.org/spreadsheetml/2006/main">
  <authors>
    <author>Model guide</author>
  </authors>
  <commentList>
    <comment ref="B10" authorId="0" shapeId="0">
      <text>
        <t>Blended CAC payback. Sales and marketing supports both new logos and expansion, so it is recovered against gross profit on new plus expansion ARR. Charging the whole line to new ARR alone would overstate payback materially.</t>
      </text>
    </comment>
    <comment ref="B11" authorId="0" shapeId="0">
      <text>
        <t>Net cash burned per dollar of net new ARR added. Below 1.0x is efficient; the ratio improves every year in the base case as operating leverage arrives.</t>
      </text>
    </comment>
    <comment ref="B12" authorId="0" shapeId="0">
      <text>
        <t>ARR growth percentage plus EBITDA margin percentage. This case starts well below 40, which is the central weakness of the credit story and is stated as such in the memorandum.</t>
      </text>
    </comment>
  </commentList>
</comments>
</file>

<file path=xl/comments/comment4.xml><?xml version="1.0" encoding="utf-8"?>
<comments xmlns="http://schemas.openxmlformats.org/spreadsheetml/2006/main">
  <authors>
    <author>Model guide</author>
  </authors>
  <commentList>
    <comment ref="B28" authorId="0" shapeId="0">
      <text>
        <t>Five year single entry and single exit, so the IRR reduces to the fifth root of MOIC less one. An explicit cash flow line is laid out on the Returns Analysis sheet.</t>
      </text>
    </comment>
  </commentList>
</comments>
</file>

<file path=xl/comments/comment5.xml><?xml version="1.0" encoding="utf-8"?>
<comments xmlns="http://schemas.openxmlformats.org/spreadsheetml/2006/main">
  <authors>
    <author>Model guide</author>
  </authors>
  <commentList>
    <comment ref="B40" authorId="0" shapeId="0">
      <text>
        <t>Five year single entry and single exit, so the IRR reduces to the fifth root of MOIC less one. An explicit cash flow line is laid out on the Returns Analysis sheet.</t>
      </text>
    </comment>
  </commentList>
</comments>
</file>

<file path=xl/comments/comment6.xml><?xml version="1.0" encoding="utf-8"?>
<comments xmlns="http://schemas.openxmlformats.org/spreadsheetml/2006/main">
  <authors>
    <author>Model guide</author>
  </authors>
  <commentList>
    <comment ref="B40" authorId="0" shapeId="0">
      <text>
        <t>Five year single entry and single exit, so the IRR reduces to the fifth root of MOIC less one. An explicit cash flow line is laid out on the Returns Analysis sheet.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6" customWidth="1" min="1" max="1"/>
    <col width="108" customWidth="1" min="2" max="2"/>
  </cols>
  <sheetData>
    <row r="1">
      <c r="A1" s="1" t="inlineStr">
        <is>
          <t>Enterprise Software Growth Capital Model</t>
        </is>
      </c>
    </row>
    <row r="2">
      <c r="A2" s="2" t="inlineStr">
        <is>
          <t>Illustrative underwriting of Northstar Workflow Systems</t>
        </is>
      </c>
    </row>
    <row r="4" ht="30" customHeight="1">
      <c r="A4" s="3" t="inlineStr">
        <is>
          <t>Disclosure</t>
        </is>
      </c>
      <c r="B4" s="4" t="inlineStr">
        <is>
          <t>Northstar Workflow Systems is a hypothetical company created solely for an illustrative underwriting exercise. It is not a real business or investment opportunity.</t>
        </is>
      </c>
    </row>
    <row r="5" ht="39" customHeight="1">
      <c r="A5" s="3" t="inlineStr">
        <is>
          <t>Purpose</t>
        </is>
      </c>
      <c r="B5" s="4" t="inlineStr">
        <is>
          <t>This workbook underwrites a single hypothetical B2B enterprise SaaS company across three capital structures: all growth equity, all private credit, and a blended structure combining both. The operating forecast is identical in every case, so any difference in outcome is caused by the structure rather than by the business.</t>
        </is>
      </c>
    </row>
    <row r="6" ht="39" customHeight="1">
      <c r="A6" s="3" t="inlineStr">
        <is>
          <t>How to use it</t>
        </is>
      </c>
      <c r="B6" s="4" t="inlineStr">
        <is>
          <t>Every input lives on the Assumptions sheet and is shaded amber. Change any amber cell and the entire workbook recalculates, including the SaaS metrics, the debt schedules, the returns, the sensitivities, and the downside case. No output anywhere in this workbook is a hardcoded number.</t>
        </is>
      </c>
    </row>
    <row r="7" ht="39" customHeight="1">
      <c r="A7" s="3" t="inlineStr">
        <is>
          <t>Colour convention</t>
        </is>
      </c>
      <c r="B7" s="4" t="inlineStr">
        <is>
          <t>Amber cells are inputs you may change. White cells are formulas driven by those inputs. Grey banded rows are subtotals. Red shading appears only where a minimum cash covenant is breached or EBITDA is negative, so the formatting carries meaning rather than decoration.</t>
        </is>
      </c>
    </row>
    <row r="8" ht="39" customHeight="1">
      <c r="A8" s="3" t="inlineStr">
        <is>
          <t>Sheet order</t>
        </is>
      </c>
      <c r="B8" s="4" t="inlineStr">
        <is>
          <t>Read Me, Assumptions, Historical Financials, Operating Forecast, SaaS Metrics, Capital Structures, Growth Equity Case, Private Credit Case, Blended Capital Case, Debt Schedule, Returns Analysis, Sensitivities, Downside Case, Sources and Disclosures.</t>
        </is>
      </c>
    </row>
    <row r="9" ht="52" customHeight="1">
      <c r="A9" s="3" t="inlineStr">
        <is>
          <t>Key formula: ARR bridge</t>
        </is>
      </c>
      <c r="B9" s="4" t="inlineStr">
        <is>
          <t>Ending ARR = Beginning ARR + New ARR + Expansion ARR less Churned ARR. Churned ARR is set by gross retention and Expansion ARR by the gap between net and gross retention. New ARR is then the residual required to hit the growth target, which makes the sales requirement explicit rather than assumed. If you lower net revenue retention, required New ARR rises automatically.</t>
        </is>
      </c>
    </row>
    <row r="10" ht="30" customHeight="1">
      <c r="A10" s="3" t="inlineStr">
        <is>
          <t>Key formula: Revenue</t>
        </is>
      </c>
      <c r="B10" s="4" t="inlineStr">
        <is>
          <t>Revenue = average of beginning and ending ARR for the year. ARR is added through the year rather than on day one, so recognising the full ending ARR as revenue would overstate the period.</t>
        </is>
      </c>
    </row>
    <row r="11" ht="30" customHeight="1">
      <c r="A11" s="3" t="inlineStr">
        <is>
          <t>Key formula: Unlevered free cash flow</t>
        </is>
      </c>
      <c r="B11" s="4" t="inlineStr">
        <is>
          <t>EBITDA less capital expenditure plus the deferred revenue benefit on ARR growth. It is stated before any interest or principal so the same cash flow line can be used across all three structures.</t>
        </is>
      </c>
    </row>
    <row r="12" ht="30" customHeight="1">
      <c r="A12" s="3" t="inlineStr">
        <is>
          <t>Key formula: Debt service</t>
        </is>
      </c>
      <c r="B12" s="4" t="inlineStr">
        <is>
          <t>Cash interest on the opening balance, plus amortisation once the interest only period ends. PIK interest, if switched on, accretes to the balance rather than being paid in cash.</t>
        </is>
      </c>
    </row>
    <row r="13" ht="30" customHeight="1">
      <c r="A13" s="3" t="inlineStr">
        <is>
          <t>Key formula: Exit equity value</t>
        </is>
      </c>
      <c r="B13" s="4" t="inlineStr">
        <is>
          <t>Exit enterprise value at the exit ARR multiple, plus ending cash, less ending debt. The equity investor receives their ownership percentage of that.</t>
        </is>
      </c>
    </row>
    <row r="14" ht="39" customHeight="1">
      <c r="A14" s="3" t="inlineStr">
        <is>
          <t>What this workbook is not</t>
        </is>
      </c>
      <c r="B14" s="4" t="inlineStr">
        <is>
          <t>It is not a valuation of any real company, not an investment recommendation, and not a forecast. It is a demonstration of how a structure decision changes dilution, debt service risk, covenant headroom, runway, and returns when the underlying business is held constant.</t>
        </is>
      </c>
    </row>
    <row r="16">
      <c r="A16" s="3" t="inlineStr">
        <is>
          <t>Built by</t>
        </is>
      </c>
      <c r="B16" s="4" t="inlineStr">
        <is>
          <t>Sahil Modi, modi.sahil@gmail.com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ht="22" customHeight="1">
      <c r="A1" s="1" t="inlineStr">
        <is>
          <t>Assumptions</t>
        </is>
      </c>
    </row>
    <row r="2">
      <c r="A2" s="2" t="inlineStr">
        <is>
          <t>Every amber cell is an input. Everything else in the workbook derives from these.</t>
        </is>
      </c>
    </row>
    <row r="3">
      <c r="A3" s="5" t="inlineStr">
        <is>
          <t>All figures are hypothetical and illustrative.</t>
        </is>
      </c>
    </row>
    <row r="5">
      <c r="A5" s="3" t="inlineStr">
        <is>
          <t>Operating assumptions</t>
        </is>
      </c>
      <c r="B5" s="6" t="n"/>
      <c r="C5" s="6" t="n"/>
      <c r="D5" s="6" t="n"/>
      <c r="E5" s="6" t="n"/>
      <c r="F5" s="6" t="n"/>
      <c r="G5" s="6" t="n"/>
    </row>
    <row r="6">
      <c r="A6" s="7" t="inlineStr">
        <is>
          <t>Beginning ARR (USD millions)</t>
        </is>
      </c>
      <c r="B6" s="8" t="n">
        <v>12</v>
      </c>
    </row>
    <row r="7">
      <c r="A7" s="7" t="inlineStr">
        <is>
          <t>Year 1 ARR growth rate</t>
        </is>
      </c>
      <c r="B7" s="9" t="n">
        <v>0.3</v>
      </c>
    </row>
    <row r="8">
      <c r="A8" s="7" t="inlineStr">
        <is>
          <t>Annual growth decay (percentage points)</t>
        </is>
      </c>
      <c r="B8" s="9" t="n">
        <v>0.02</v>
      </c>
    </row>
    <row r="9">
      <c r="A9" s="7" t="inlineStr">
        <is>
          <t>Net revenue retention</t>
        </is>
      </c>
      <c r="B9" s="9" t="n">
        <v>1.1</v>
      </c>
    </row>
    <row r="10">
      <c r="A10" s="7" t="inlineStr">
        <is>
          <t>Gross retention</t>
        </is>
      </c>
      <c r="B10" s="9" t="n">
        <v>0.88</v>
      </c>
    </row>
    <row r="11">
      <c r="A11" s="7" t="inlineStr">
        <is>
          <t>Gross margin</t>
        </is>
      </c>
      <c r="B11" s="9" t="n">
        <v>0.78</v>
      </c>
    </row>
    <row r="12">
      <c r="A12" s="7" t="inlineStr">
        <is>
          <t>Capital expenditure (% of revenue)</t>
        </is>
      </c>
      <c r="B12" s="9" t="n">
        <v>0.02</v>
      </c>
    </row>
    <row r="13">
      <c r="A13" s="7" t="inlineStr">
        <is>
          <t>Deferred revenue benefit (% of ARR increase)</t>
        </is>
      </c>
      <c r="B13" s="9" t="n">
        <v>0.1</v>
      </c>
    </row>
    <row r="14">
      <c r="A14" s="7" t="inlineStr">
        <is>
          <t>Beginning cash (USD millions)</t>
        </is>
      </c>
      <c r="B14" s="8" t="n">
        <v>8</v>
      </c>
    </row>
    <row r="15">
      <c r="A15" s="7" t="inlineStr">
        <is>
          <t>Existing debt (USD millions)</t>
        </is>
      </c>
      <c r="B15" s="8" t="n">
        <v>3</v>
      </c>
    </row>
    <row r="16">
      <c r="A16" s="7" t="inlineStr">
        <is>
          <t>Customer count at year 0</t>
        </is>
      </c>
      <c r="B16" s="10" t="n">
        <v>240</v>
      </c>
    </row>
    <row r="17">
      <c r="A17" s="7" t="inlineStr">
        <is>
          <t>New customer ACV premium to base</t>
        </is>
      </c>
      <c r="B17" s="11" t="n">
        <v>1.15</v>
      </c>
    </row>
    <row r="19">
      <c r="A19" s="3" t="inlineStr">
        <is>
          <t>Operating expense ratios (% of revenue)</t>
        </is>
      </c>
      <c r="B19" s="6" t="n"/>
      <c r="C19" s="6" t="n"/>
      <c r="D19" s="6" t="n"/>
      <c r="E19" s="6" t="n"/>
      <c r="F19" s="6" t="n"/>
      <c r="G19" s="6" t="n"/>
    </row>
    <row r="20">
      <c r="A20" s="12" t="inlineStr">
        <is>
          <t>Line</t>
        </is>
      </c>
      <c r="B20" s="12" t="inlineStr">
        <is>
          <t>Year 1</t>
        </is>
      </c>
      <c r="C20" s="12" t="inlineStr">
        <is>
          <t>Year 2</t>
        </is>
      </c>
      <c r="D20" s="12" t="inlineStr">
        <is>
          <t>Year 3</t>
        </is>
      </c>
      <c r="E20" s="12" t="inlineStr">
        <is>
          <t>Year 4</t>
        </is>
      </c>
      <c r="F20" s="12" t="inlineStr">
        <is>
          <t>Year 5</t>
        </is>
      </c>
    </row>
    <row r="21">
      <c r="A21" s="7" t="inlineStr">
        <is>
          <t>Sales and marketing</t>
        </is>
      </c>
      <c r="B21" s="9" t="n">
        <v>0.55</v>
      </c>
      <c r="C21" s="9" t="n">
        <v>0.52</v>
      </c>
      <c r="D21" s="9" t="n">
        <v>0.48</v>
      </c>
      <c r="E21" s="9" t="n">
        <v>0.44</v>
      </c>
      <c r="F21" s="9" t="n">
        <v>0.4</v>
      </c>
    </row>
    <row r="22">
      <c r="A22" s="7" t="inlineStr">
        <is>
          <t>Research and development</t>
        </is>
      </c>
      <c r="B22" s="9" t="n">
        <v>0.3</v>
      </c>
      <c r="C22" s="9" t="n">
        <v>0.28</v>
      </c>
      <c r="D22" s="9" t="n">
        <v>0.26</v>
      </c>
      <c r="E22" s="9" t="n">
        <v>0.24</v>
      </c>
      <c r="F22" s="9" t="n">
        <v>0.22</v>
      </c>
    </row>
    <row r="23">
      <c r="A23" s="7" t="inlineStr">
        <is>
          <t>General and administrative</t>
        </is>
      </c>
      <c r="B23" s="9" t="n">
        <v>0.18</v>
      </c>
      <c r="C23" s="9" t="n">
        <v>0.16</v>
      </c>
      <c r="D23" s="9" t="n">
        <v>0.15</v>
      </c>
      <c r="E23" s="9" t="n">
        <v>0.14</v>
      </c>
      <c r="F23" s="9" t="n">
        <v>0.13</v>
      </c>
    </row>
    <row r="25">
      <c r="A25" s="3" t="inlineStr">
        <is>
          <t>Transaction assumptions</t>
        </is>
      </c>
      <c r="B25" s="6" t="n"/>
      <c r="C25" s="6" t="n"/>
      <c r="D25" s="6" t="n"/>
      <c r="E25" s="6" t="n"/>
      <c r="F25" s="6" t="n"/>
      <c r="G25" s="6" t="n"/>
    </row>
    <row r="26">
      <c r="A26" s="7" t="inlineStr">
        <is>
          <t>Total capital raised (USD millions)</t>
        </is>
      </c>
      <c r="B26" s="8" t="n">
        <v>20</v>
      </c>
    </row>
    <row r="27">
      <c r="A27" s="7" t="inlineStr">
        <is>
          <t>Existing debt refinanced at close (USD millions)</t>
        </is>
      </c>
      <c r="B27" s="8" t="n">
        <v>3</v>
      </c>
    </row>
    <row r="28">
      <c r="A28" s="7" t="inlineStr">
        <is>
          <t>Entry ARR multiple (pre-money)</t>
        </is>
      </c>
      <c r="B28" s="11" t="n">
        <v>8</v>
      </c>
    </row>
    <row r="29">
      <c r="A29" s="7" t="inlineStr">
        <is>
          <t>Exit ARR multiple</t>
        </is>
      </c>
      <c r="B29" s="11" t="n">
        <v>7</v>
      </c>
    </row>
    <row r="30">
      <c r="A30" s="7" t="inlineStr">
        <is>
          <t>Minimum cash covenant (USD millions)</t>
        </is>
      </c>
      <c r="B30" s="8" t="n">
        <v>5</v>
      </c>
    </row>
    <row r="32">
      <c r="A32" s="3" t="inlineStr">
        <is>
          <t>Growth equity case</t>
        </is>
      </c>
      <c r="B32" s="6" t="n"/>
      <c r="C32" s="6" t="n"/>
      <c r="D32" s="6" t="n"/>
      <c r="E32" s="6" t="n"/>
      <c r="F32" s="6" t="n"/>
      <c r="G32" s="6" t="n"/>
    </row>
    <row r="33">
      <c r="A33" s="7" t="inlineStr">
        <is>
          <t>New equity invested (USD millions)</t>
        </is>
      </c>
      <c r="B33" s="8" t="n">
        <v>20</v>
      </c>
    </row>
    <row r="35">
      <c r="A35" s="3" t="inlineStr">
        <is>
          <t>Private credit case</t>
        </is>
      </c>
      <c r="B35" s="6" t="n"/>
      <c r="C35" s="6" t="n"/>
      <c r="D35" s="6" t="n"/>
      <c r="E35" s="6" t="n"/>
      <c r="F35" s="6" t="n"/>
      <c r="G35" s="6" t="n"/>
    </row>
    <row r="36">
      <c r="A36" s="7" t="inlineStr">
        <is>
          <t>Principal (USD millions)</t>
        </is>
      </c>
      <c r="B36" s="8" t="n">
        <v>20</v>
      </c>
    </row>
    <row r="37">
      <c r="A37" s="7" t="inlineStr">
        <is>
          <t>Cash interest rate</t>
        </is>
      </c>
      <c r="B37" s="9" t="n">
        <v>0.115</v>
      </c>
    </row>
    <row r="38">
      <c r="A38" s="7" t="inlineStr">
        <is>
          <t>PIK interest rate</t>
        </is>
      </c>
      <c r="B38" s="9" t="n">
        <v>0</v>
      </c>
    </row>
    <row r="39">
      <c r="A39" s="7" t="inlineStr">
        <is>
          <t>Original issue discount</t>
        </is>
      </c>
      <c r="B39" s="9" t="n">
        <v>0.02</v>
      </c>
    </row>
    <row r="40">
      <c r="A40" s="7" t="inlineStr">
        <is>
          <t>Maturity (years)</t>
        </is>
      </c>
      <c r="B40" s="10" t="n">
        <v>5</v>
      </c>
    </row>
    <row r="41">
      <c r="A41" s="7" t="inlineStr">
        <is>
          <t>Interest only period (years)</t>
        </is>
      </c>
      <c r="B41" s="10" t="n">
        <v>3</v>
      </c>
    </row>
    <row r="42">
      <c r="A42" s="7" t="inlineStr">
        <is>
          <t>Annual amortisation (% of original principal)</t>
        </is>
      </c>
      <c r="B42" s="9" t="n">
        <v>0.05</v>
      </c>
    </row>
    <row r="44">
      <c r="A44" s="3" t="inlineStr">
        <is>
          <t>Blended capital case</t>
        </is>
      </c>
      <c r="B44" s="6" t="n"/>
      <c r="C44" s="6" t="n"/>
      <c r="D44" s="6" t="n"/>
      <c r="E44" s="6" t="n"/>
      <c r="F44" s="6" t="n"/>
      <c r="G44" s="6" t="n"/>
    </row>
    <row r="45">
      <c r="A45" s="7" t="inlineStr">
        <is>
          <t>Equity component (USD millions)</t>
        </is>
      </c>
      <c r="B45" s="8" t="n">
        <v>8</v>
      </c>
    </row>
    <row r="46">
      <c r="A46" s="7" t="inlineStr">
        <is>
          <t>Debt component (USD millions)</t>
        </is>
      </c>
      <c r="B46" s="8" t="n">
        <v>12</v>
      </c>
    </row>
    <row r="47">
      <c r="A47" s="7" t="inlineStr">
        <is>
          <t>Cash interest rate</t>
        </is>
      </c>
      <c r="B47" s="9" t="n">
        <v>0.11</v>
      </c>
    </row>
    <row r="48">
      <c r="A48" s="7" t="inlineStr">
        <is>
          <t>PIK interest rate</t>
        </is>
      </c>
      <c r="B48" s="9" t="n">
        <v>0</v>
      </c>
    </row>
    <row r="49">
      <c r="A49" s="7" t="inlineStr">
        <is>
          <t>Original issue discount</t>
        </is>
      </c>
      <c r="B49" s="9" t="n">
        <v>0.015</v>
      </c>
    </row>
    <row r="50">
      <c r="A50" s="7" t="inlineStr">
        <is>
          <t>Maturity (years)</t>
        </is>
      </c>
      <c r="B50" s="10" t="n">
        <v>5</v>
      </c>
    </row>
    <row r="51">
      <c r="A51" s="7" t="inlineStr">
        <is>
          <t>Interest only period (years)</t>
        </is>
      </c>
      <c r="B51" s="10" t="n">
        <v>3</v>
      </c>
    </row>
    <row r="52">
      <c r="A52" s="7" t="inlineStr">
        <is>
          <t>Annual amortisation (% of original principal)</t>
        </is>
      </c>
      <c r="B52" s="9" t="n">
        <v>0.05</v>
      </c>
    </row>
    <row r="54">
      <c r="A54" s="3" t="inlineStr">
        <is>
          <t>Downside case overrides</t>
        </is>
      </c>
      <c r="B54" s="6" t="n"/>
      <c r="C54" s="6" t="n"/>
      <c r="D54" s="6" t="n"/>
      <c r="E54" s="6" t="n"/>
      <c r="F54" s="6" t="n"/>
      <c r="G54" s="6" t="n"/>
    </row>
    <row r="55">
      <c r="A55" s="7" t="inlineStr">
        <is>
          <t>Year 1 ARR growth rate</t>
        </is>
      </c>
      <c r="B55" s="9" t="n">
        <v>0.18</v>
      </c>
    </row>
    <row r="56">
      <c r="A56" s="7" t="inlineStr">
        <is>
          <t>Net revenue retention</t>
        </is>
      </c>
      <c r="B56" s="9" t="n">
        <v>1</v>
      </c>
    </row>
    <row r="57">
      <c r="A57" s="7" t="inlineStr">
        <is>
          <t>Gross retention</t>
        </is>
      </c>
      <c r="B57" s="9" t="n">
        <v>0.82</v>
      </c>
    </row>
    <row r="58">
      <c r="A58" s="7" t="inlineStr">
        <is>
          <t>Gross margin</t>
        </is>
      </c>
      <c r="B58" s="9" t="n">
        <v>0.74</v>
      </c>
    </row>
    <row r="59">
      <c r="A59" s="7" t="inlineStr">
        <is>
          <t>Sales and marketing uplift (percentage points)</t>
        </is>
      </c>
      <c r="B59" s="9" t="n">
        <v>0.05</v>
      </c>
    </row>
    <row r="61">
      <c r="A61" s="13" t="inlineStr">
        <is>
          <t>All figures are hypothetical and illustrative.</t>
        </is>
      </c>
    </row>
  </sheetData>
  <mergeCells count="10">
    <mergeCell ref="A32:G32"/>
    <mergeCell ref="A44:G44"/>
    <mergeCell ref="A1:G1"/>
    <mergeCell ref="A3:G3"/>
    <mergeCell ref="A35:G35"/>
    <mergeCell ref="A2:G2"/>
    <mergeCell ref="A54:G54"/>
    <mergeCell ref="A25:G25"/>
    <mergeCell ref="A19:G19"/>
    <mergeCell ref="A5:G5"/>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1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ht="22" customHeight="1">
      <c r="A1" s="1" t="inlineStr">
        <is>
          <t>Historical Financials</t>
        </is>
      </c>
    </row>
    <row r="2">
      <c r="A2" s="2" t="inlineStr">
        <is>
          <t>Illustrative three year history for Northstar Workflow Systems, ending at the model start point.</t>
        </is>
      </c>
    </row>
    <row r="3">
      <c r="A3" s="5" t="inlineStr">
        <is>
          <t>All figures are hypothetical and illustrative.</t>
        </is>
      </c>
    </row>
    <row r="5">
      <c r="A5" s="12" t="inlineStr">
        <is>
          <t>Line item (USD millions)</t>
        </is>
      </c>
      <c r="B5" s="12" t="inlineStr">
        <is>
          <t>Year -3</t>
        </is>
      </c>
      <c r="C5" s="12" t="inlineStr">
        <is>
          <t>Year -2</t>
        </is>
      </c>
      <c r="D5" s="12" t="inlineStr">
        <is>
          <t>Year -1</t>
        </is>
      </c>
      <c r="E5" s="12" t="inlineStr">
        <is>
          <t>Year 0</t>
        </is>
      </c>
    </row>
    <row r="6">
      <c r="A6" s="7" t="inlineStr">
        <is>
          <t>Ending ARR</t>
        </is>
      </c>
      <c r="B6" s="8" t="n">
        <v>4.9</v>
      </c>
      <c r="C6" s="8" t="n">
        <v>6.9</v>
      </c>
      <c r="D6" s="8" t="n">
        <v>9.4</v>
      </c>
      <c r="E6" s="14">
        <f>Assumptions!$B$6</f>
        <v/>
      </c>
    </row>
    <row r="7">
      <c r="A7" s="7" t="inlineStr">
        <is>
          <t>ARR growth</t>
        </is>
      </c>
      <c r="B7" s="15" t="inlineStr">
        <is>
          <t>n/a</t>
        </is>
      </c>
      <c r="C7" s="16">
        <f>C6/B6-1</f>
        <v/>
      </c>
      <c r="D7" s="16">
        <f>D6/C6-1</f>
        <v/>
      </c>
      <c r="E7" s="16">
        <f>E6/D6-1</f>
        <v/>
      </c>
    </row>
    <row r="8">
      <c r="A8" s="7" t="inlineStr">
        <is>
          <t>Revenue</t>
        </is>
      </c>
      <c r="B8" s="14">
        <f>B6*0.85</f>
        <v/>
      </c>
      <c r="C8" s="14">
        <f>(B6+C6)/2</f>
        <v/>
      </c>
      <c r="D8" s="14">
        <f>(C6+D6)/2</f>
        <v/>
      </c>
      <c r="E8" s="14">
        <f>(D6+E6)/2</f>
        <v/>
      </c>
    </row>
    <row r="9">
      <c r="A9" s="7" t="inlineStr">
        <is>
          <t>Gross profit</t>
        </is>
      </c>
      <c r="B9" s="14">
        <f>B8*Assumptions!$B$11</f>
        <v/>
      </c>
      <c r="C9" s="14">
        <f>C8*Assumptions!$B$11</f>
        <v/>
      </c>
      <c r="D9" s="14">
        <f>D8*Assumptions!$B$11</f>
        <v/>
      </c>
      <c r="E9" s="14">
        <f>E8*Assumptions!$B$11</f>
        <v/>
      </c>
    </row>
    <row r="10">
      <c r="A10" s="7" t="inlineStr">
        <is>
          <t>Total operating expenses</t>
        </is>
      </c>
      <c r="B10" s="8" t="n">
        <v>5.4</v>
      </c>
      <c r="C10" s="8" t="n">
        <v>7.3</v>
      </c>
      <c r="D10" s="8" t="n">
        <v>9.6</v>
      </c>
      <c r="E10" s="8" t="n">
        <v>12.7</v>
      </c>
    </row>
    <row r="11">
      <c r="A11" s="7" t="inlineStr">
        <is>
          <t>EBITDA</t>
        </is>
      </c>
      <c r="B11" s="17">
        <f>B9-B10</f>
        <v/>
      </c>
      <c r="C11" s="17">
        <f>C9-C10</f>
        <v/>
      </c>
      <c r="D11" s="17">
        <f>D9-D10</f>
        <v/>
      </c>
      <c r="E11" s="17">
        <f>E9-E10</f>
        <v/>
      </c>
    </row>
    <row r="12">
      <c r="A12" s="7" t="inlineStr">
        <is>
          <t>Cash balance</t>
        </is>
      </c>
      <c r="B12" s="8" t="n">
        <v>6.2</v>
      </c>
      <c r="C12" s="8" t="n">
        <v>9.800000000000001</v>
      </c>
      <c r="D12" s="8" t="n">
        <v>7.1</v>
      </c>
      <c r="E12" s="14">
        <f>Assumptions!$B$14</f>
        <v/>
      </c>
    </row>
    <row r="13">
      <c r="A13" s="7" t="inlineStr">
        <is>
          <t>Customer count</t>
        </is>
      </c>
      <c r="B13" s="10" t="n">
        <v>118</v>
      </c>
      <c r="C13" s="10" t="n">
        <v>156</v>
      </c>
      <c r="D13" s="10" t="n">
        <v>199</v>
      </c>
      <c r="E13" s="18">
        <f>Assumptions!$B$16</f>
        <v/>
      </c>
    </row>
    <row r="15" ht="40" customHeight="1">
      <c r="A15" s="13" t="inlineStr">
        <is>
          <t>History is illustrative and is provided so the forecast has a visible starting trajectory. Year 0 ARR, cash, and customer count link to the Assumptions sheet, so the history and the forecast always join.</t>
        </is>
      </c>
    </row>
    <row r="17">
      <c r="A17" s="13" t="inlineStr">
        <is>
          <t>All figures are hypothetical and illustrative.</t>
        </is>
      </c>
    </row>
  </sheetData>
  <mergeCells count="4">
    <mergeCell ref="A2:E2"/>
    <mergeCell ref="A15:E15"/>
    <mergeCell ref="A1:E1"/>
    <mergeCell ref="A3:E3"/>
  </mergeCells>
  <conditionalFormatting sqref="B11:E11">
    <cfRule type="cellIs" priority="1" operator="lessThan" dxfId="0">
      <formula>0</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ht="22" customHeight="1">
      <c r="A1" s="1" t="inlineStr">
        <is>
          <t>Operating Forecast</t>
        </is>
      </c>
    </row>
    <row r="2">
      <c r="A2" s="2" t="inlineStr">
        <is>
          <t>Five year base case. Churn and expansion are set by retention; New ARR is the residual required to hit the growth target.</t>
        </is>
      </c>
    </row>
    <row r="3">
      <c r="A3" s="5" t="inlineStr">
        <is>
          <t>All figures are hypothetical and illustrative.</t>
        </is>
      </c>
    </row>
    <row r="5">
      <c r="A5" s="12" t="inlineStr">
        <is>
          <t>Line item (USD millions)</t>
        </is>
      </c>
      <c r="B5" s="12" t="inlineStr">
        <is>
          <t>Year 1</t>
        </is>
      </c>
      <c r="C5" s="12" t="inlineStr">
        <is>
          <t>Year 2</t>
        </is>
      </c>
      <c r="D5" s="12" t="inlineStr">
        <is>
          <t>Year 3</t>
        </is>
      </c>
      <c r="E5" s="12" t="inlineStr">
        <is>
          <t>Year 4</t>
        </is>
      </c>
      <c r="F5" s="12" t="inlineStr">
        <is>
          <t>Year 5</t>
        </is>
      </c>
    </row>
    <row r="6">
      <c r="A6" s="3" t="inlineStr">
        <is>
          <t>ARR bridge</t>
        </is>
      </c>
    </row>
    <row r="7">
      <c r="A7" s="7" t="inlineStr">
        <is>
          <t>Beginning ARR</t>
        </is>
      </c>
      <c r="B7" s="14">
        <f>Assumptions!$B$6</f>
        <v/>
      </c>
      <c r="C7" s="14">
        <f>B12</f>
        <v/>
      </c>
      <c r="D7" s="14">
        <f>C12</f>
        <v/>
      </c>
      <c r="E7" s="14">
        <f>D12</f>
        <v/>
      </c>
      <c r="F7" s="14">
        <f>E12</f>
        <v/>
      </c>
    </row>
    <row r="8">
      <c r="A8" s="7" t="inlineStr">
        <is>
          <t>Growth rate</t>
        </is>
      </c>
      <c r="B8" s="16">
        <f>MAX(0,Assumptions!$B$7-Assumptions!$B$8*0)</f>
        <v/>
      </c>
      <c r="C8" s="16">
        <f>MAX(0,Assumptions!$B$7-Assumptions!$B$8*1)</f>
        <v/>
      </c>
      <c r="D8" s="16">
        <f>MAX(0,Assumptions!$B$7-Assumptions!$B$8*2)</f>
        <v/>
      </c>
      <c r="E8" s="16">
        <f>MAX(0,Assumptions!$B$7-Assumptions!$B$8*3)</f>
        <v/>
      </c>
      <c r="F8" s="16">
        <f>MAX(0,Assumptions!$B$7-Assumptions!$B$8*4)</f>
        <v/>
      </c>
    </row>
    <row r="9">
      <c r="A9" s="7" t="inlineStr">
        <is>
          <t>New ARR</t>
        </is>
      </c>
      <c r="B9" s="14">
        <f>B7*(1+B8)-B7*Assumptions!$B$9</f>
        <v/>
      </c>
      <c r="C9" s="14">
        <f>C7*(1+C8)-C7*Assumptions!$B$9</f>
        <v/>
      </c>
      <c r="D9" s="14">
        <f>D7*(1+D8)-D7*Assumptions!$B$9</f>
        <v/>
      </c>
      <c r="E9" s="14">
        <f>E7*(1+E8)-E7*Assumptions!$B$9</f>
        <v/>
      </c>
      <c r="F9" s="14">
        <f>F7*(1+F8)-F7*Assumptions!$B$9</f>
        <v/>
      </c>
    </row>
    <row r="10">
      <c r="A10" s="7" t="inlineStr">
        <is>
          <t>Expansion ARR</t>
        </is>
      </c>
      <c r="B10" s="14">
        <f>B7*(Assumptions!$B$9-Assumptions!$B$10)</f>
        <v/>
      </c>
      <c r="C10" s="14">
        <f>C7*(Assumptions!$B$9-Assumptions!$B$10)</f>
        <v/>
      </c>
      <c r="D10" s="14">
        <f>D7*(Assumptions!$B$9-Assumptions!$B$10)</f>
        <v/>
      </c>
      <c r="E10" s="14">
        <f>E7*(Assumptions!$B$9-Assumptions!$B$10)</f>
        <v/>
      </c>
      <c r="F10" s="14">
        <f>F7*(Assumptions!$B$9-Assumptions!$B$10)</f>
        <v/>
      </c>
    </row>
    <row r="11">
      <c r="A11" s="7" t="inlineStr">
        <is>
          <t>Churned ARR</t>
        </is>
      </c>
      <c r="B11" s="14">
        <f>-B7*(1-Assumptions!$B$10)</f>
        <v/>
      </c>
      <c r="C11" s="14">
        <f>-C7*(1-Assumptions!$B$10)</f>
        <v/>
      </c>
      <c r="D11" s="14">
        <f>-D7*(1-Assumptions!$B$10)</f>
        <v/>
      </c>
      <c r="E11" s="14">
        <f>-E7*(1-Assumptions!$B$10)</f>
        <v/>
      </c>
      <c r="F11" s="14">
        <f>-F7*(1-Assumptions!$B$10)</f>
        <v/>
      </c>
    </row>
    <row r="12">
      <c r="A12" s="19" t="inlineStr">
        <is>
          <t>Ending ARR</t>
        </is>
      </c>
      <c r="B12" s="17">
        <f>B7+B9+B10+B11</f>
        <v/>
      </c>
      <c r="C12" s="17">
        <f>C7+C9+C10+C11</f>
        <v/>
      </c>
      <c r="D12" s="17">
        <f>D7+D9+D10+D11</f>
        <v/>
      </c>
      <c r="E12" s="17">
        <f>E7+E9+E10+E11</f>
        <v/>
      </c>
      <c r="F12" s="17">
        <f>F7+F9+F10+F11</f>
        <v/>
      </c>
    </row>
    <row r="14">
      <c r="A14" s="3" t="inlineStr">
        <is>
          <t>Income statement</t>
        </is>
      </c>
    </row>
    <row r="15">
      <c r="A15" s="7" t="inlineStr">
        <is>
          <t>Revenue</t>
        </is>
      </c>
      <c r="B15" s="14">
        <f>(B7+B12)/2</f>
        <v/>
      </c>
      <c r="C15" s="14">
        <f>(C7+C12)/2</f>
        <v/>
      </c>
      <c r="D15" s="14">
        <f>(D7+D12)/2</f>
        <v/>
      </c>
      <c r="E15" s="14">
        <f>(E7+E12)/2</f>
        <v/>
      </c>
      <c r="F15" s="14">
        <f>(F7+F12)/2</f>
        <v/>
      </c>
    </row>
    <row r="16">
      <c r="A16" s="7" t="inlineStr">
        <is>
          <t>Gross profit</t>
        </is>
      </c>
      <c r="B16" s="14">
        <f>B15*Assumptions!$B$11</f>
        <v/>
      </c>
      <c r="C16" s="14">
        <f>C15*Assumptions!$B$11</f>
        <v/>
      </c>
      <c r="D16" s="14">
        <f>D15*Assumptions!$B$11</f>
        <v/>
      </c>
      <c r="E16" s="14">
        <f>E15*Assumptions!$B$11</f>
        <v/>
      </c>
      <c r="F16" s="14">
        <f>F15*Assumptions!$B$11</f>
        <v/>
      </c>
    </row>
    <row r="17">
      <c r="A17" s="7" t="inlineStr">
        <is>
          <t>Gross margin</t>
        </is>
      </c>
      <c r="B17" s="16">
        <f>B16/B15</f>
        <v/>
      </c>
      <c r="C17" s="16">
        <f>C16/C15</f>
        <v/>
      </c>
      <c r="D17" s="16">
        <f>D16/D15</f>
        <v/>
      </c>
      <c r="E17" s="16">
        <f>E16/E15</f>
        <v/>
      </c>
      <c r="F17" s="16">
        <f>F16/F15</f>
        <v/>
      </c>
    </row>
    <row r="18">
      <c r="A18" s="7" t="inlineStr">
        <is>
          <t>Sales and marketing</t>
        </is>
      </c>
      <c r="B18" s="14">
        <f>-B15*Assumptions!B$21</f>
        <v/>
      </c>
      <c r="C18" s="14">
        <f>-C15*Assumptions!C$21</f>
        <v/>
      </c>
      <c r="D18" s="14">
        <f>-D15*Assumptions!D$21</f>
        <v/>
      </c>
      <c r="E18" s="14">
        <f>-E15*Assumptions!E$21</f>
        <v/>
      </c>
      <c r="F18" s="14">
        <f>-F15*Assumptions!F$21</f>
        <v/>
      </c>
    </row>
    <row r="19">
      <c r="A19" s="7" t="inlineStr">
        <is>
          <t>Research and development</t>
        </is>
      </c>
      <c r="B19" s="14">
        <f>-B15*Assumptions!B$22</f>
        <v/>
      </c>
      <c r="C19" s="14">
        <f>-C15*Assumptions!C$22</f>
        <v/>
      </c>
      <c r="D19" s="14">
        <f>-D15*Assumptions!D$22</f>
        <v/>
      </c>
      <c r="E19" s="14">
        <f>-E15*Assumptions!E$22</f>
        <v/>
      </c>
      <c r="F19" s="14">
        <f>-F15*Assumptions!F$22</f>
        <v/>
      </c>
    </row>
    <row r="20">
      <c r="A20" s="7" t="inlineStr">
        <is>
          <t>General and administrative</t>
        </is>
      </c>
      <c r="B20" s="14">
        <f>-B15*Assumptions!B$23</f>
        <v/>
      </c>
      <c r="C20" s="14">
        <f>-C15*Assumptions!C$23</f>
        <v/>
      </c>
      <c r="D20" s="14">
        <f>-D15*Assumptions!D$23</f>
        <v/>
      </c>
      <c r="E20" s="14">
        <f>-E15*Assumptions!E$23</f>
        <v/>
      </c>
      <c r="F20" s="14">
        <f>-F15*Assumptions!F$23</f>
        <v/>
      </c>
    </row>
    <row r="21">
      <c r="A21" s="7" t="inlineStr">
        <is>
          <t>Total operating expenses</t>
        </is>
      </c>
      <c r="B21" s="14">
        <f>SUM(B18:B20)</f>
        <v/>
      </c>
      <c r="C21" s="14">
        <f>SUM(C18:C20)</f>
        <v/>
      </c>
      <c r="D21" s="14">
        <f>SUM(D18:D20)</f>
        <v/>
      </c>
      <c r="E21" s="14">
        <f>SUM(E18:E20)</f>
        <v/>
      </c>
      <c r="F21" s="14">
        <f>SUM(F18:F20)</f>
        <v/>
      </c>
    </row>
    <row r="22">
      <c r="A22" s="19" t="inlineStr">
        <is>
          <t>EBITDA</t>
        </is>
      </c>
      <c r="B22" s="17">
        <f>B16+B21</f>
        <v/>
      </c>
      <c r="C22" s="17">
        <f>C16+C21</f>
        <v/>
      </c>
      <c r="D22" s="17">
        <f>D16+D21</f>
        <v/>
      </c>
      <c r="E22" s="17">
        <f>E16+E21</f>
        <v/>
      </c>
      <c r="F22" s="17">
        <f>F16+F21</f>
        <v/>
      </c>
    </row>
    <row r="23">
      <c r="A23" s="7" t="inlineStr">
        <is>
          <t>EBITDA margin</t>
        </is>
      </c>
      <c r="B23" s="16">
        <f>B22/B15</f>
        <v/>
      </c>
      <c r="C23" s="16">
        <f>C22/C15</f>
        <v/>
      </c>
      <c r="D23" s="16">
        <f>D22/D15</f>
        <v/>
      </c>
      <c r="E23" s="16">
        <f>E22/E15</f>
        <v/>
      </c>
      <c r="F23" s="16">
        <f>F22/F15</f>
        <v/>
      </c>
    </row>
    <row r="25">
      <c r="A25" s="3" t="inlineStr">
        <is>
          <t>Cash flow</t>
        </is>
      </c>
    </row>
    <row r="26">
      <c r="A26" s="7" t="inlineStr">
        <is>
          <t>Capital expenditure</t>
        </is>
      </c>
      <c r="B26" s="14">
        <f>-B15*Assumptions!$B$12</f>
        <v/>
      </c>
      <c r="C26" s="14">
        <f>-C15*Assumptions!$B$12</f>
        <v/>
      </c>
      <c r="D26" s="14">
        <f>-D15*Assumptions!$B$12</f>
        <v/>
      </c>
      <c r="E26" s="14">
        <f>-E15*Assumptions!$B$12</f>
        <v/>
      </c>
      <c r="F26" s="14">
        <f>-F15*Assumptions!$B$12</f>
        <v/>
      </c>
    </row>
    <row r="27">
      <c r="A27" s="7" t="inlineStr">
        <is>
          <t>Deferred revenue benefit</t>
        </is>
      </c>
      <c r="B27" s="14">
        <f>(B12-B7)*Assumptions!$B$13</f>
        <v/>
      </c>
      <c r="C27" s="14">
        <f>(C12-C7)*Assumptions!$B$13</f>
        <v/>
      </c>
      <c r="D27" s="14">
        <f>(D12-D7)*Assumptions!$B$13</f>
        <v/>
      </c>
      <c r="E27" s="14">
        <f>(E12-E7)*Assumptions!$B$13</f>
        <v/>
      </c>
      <c r="F27" s="14">
        <f>(F12-F7)*Assumptions!$B$13</f>
        <v/>
      </c>
    </row>
    <row r="28">
      <c r="A28" s="19" t="inlineStr">
        <is>
          <t>Unlevered free cash flow</t>
        </is>
      </c>
      <c r="B28" s="17">
        <f>B22+B26+B27</f>
        <v/>
      </c>
      <c r="C28" s="17">
        <f>C22+C26+C27</f>
        <v/>
      </c>
      <c r="D28" s="17">
        <f>D22+D26+D27</f>
        <v/>
      </c>
      <c r="E28" s="17">
        <f>E22+E26+E27</f>
        <v/>
      </c>
      <c r="F28" s="17">
        <f>F22+F26+F27</f>
        <v/>
      </c>
    </row>
    <row r="30">
      <c r="A30" s="3" t="inlineStr">
        <is>
          <t>Customers</t>
        </is>
      </c>
    </row>
    <row r="31">
      <c r="A31" s="7" t="inlineStr">
        <is>
          <t>Beginning customers</t>
        </is>
      </c>
      <c r="B31" s="18">
        <f>Assumptions!$B$16</f>
        <v/>
      </c>
      <c r="C31" s="18">
        <f>B34</f>
        <v/>
      </c>
      <c r="D31" s="18">
        <f>C34</f>
        <v/>
      </c>
      <c r="E31" s="18">
        <f>D34</f>
        <v/>
      </c>
      <c r="F31" s="18">
        <f>E34</f>
        <v/>
      </c>
    </row>
    <row r="32">
      <c r="A32" s="7" t="inlineStr">
        <is>
          <t>New customers</t>
        </is>
      </c>
      <c r="B32" s="18">
        <f>B9/((B7/B31)*Assumptions!$B$17)</f>
        <v/>
      </c>
      <c r="C32" s="18">
        <f>C9/((C7/C31)*Assumptions!$B$17)</f>
        <v/>
      </c>
      <c r="D32" s="18">
        <f>D9/((D7/D31)*Assumptions!$B$17)</f>
        <v/>
      </c>
      <c r="E32" s="18">
        <f>E9/((E7/E31)*Assumptions!$B$17)</f>
        <v/>
      </c>
      <c r="F32" s="18">
        <f>F9/((F7/F31)*Assumptions!$B$17)</f>
        <v/>
      </c>
    </row>
    <row r="33">
      <c r="A33" s="7" t="inlineStr">
        <is>
          <t>Churned customers</t>
        </is>
      </c>
      <c r="B33" s="18">
        <f>-B31*(1-Assumptions!$B$10)</f>
        <v/>
      </c>
      <c r="C33" s="18">
        <f>-C31*(1-Assumptions!$B$10)</f>
        <v/>
      </c>
      <c r="D33" s="18">
        <f>-D31*(1-Assumptions!$B$10)</f>
        <v/>
      </c>
      <c r="E33" s="18">
        <f>-E31*(1-Assumptions!$B$10)</f>
        <v/>
      </c>
      <c r="F33" s="18">
        <f>-F31*(1-Assumptions!$B$10)</f>
        <v/>
      </c>
    </row>
    <row r="34">
      <c r="A34" s="19" t="inlineStr">
        <is>
          <t>Ending customers</t>
        </is>
      </c>
      <c r="B34" s="20">
        <f>B31+B32+B33</f>
        <v/>
      </c>
      <c r="C34" s="20">
        <f>C31+C32+C33</f>
        <v/>
      </c>
      <c r="D34" s="20">
        <f>D31+D32+D33</f>
        <v/>
      </c>
      <c r="E34" s="20">
        <f>E31+E32+E33</f>
        <v/>
      </c>
      <c r="F34" s="20">
        <f>F31+F32+F33</f>
        <v/>
      </c>
    </row>
    <row r="36">
      <c r="A36" s="13" t="inlineStr">
        <is>
          <t>All figures are hypothetical and illustrative.</t>
        </is>
      </c>
    </row>
  </sheetData>
  <mergeCells count="3">
    <mergeCell ref="A3:F3"/>
    <mergeCell ref="A2:F2"/>
    <mergeCell ref="A1:F1"/>
  </mergeCells>
  <conditionalFormatting sqref="B22:F22">
    <cfRule type="cellIs" priority="1" operator="lessThan" dxfId="1">
      <formula>0</formula>
    </cfRule>
  </conditionalFormatting>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F1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ht="22" customHeight="1">
      <c r="A1" s="1" t="inlineStr">
        <is>
          <t>SaaS Metrics</t>
        </is>
      </c>
    </row>
    <row r="2">
      <c r="A2" s="2" t="inlineStr">
        <is>
          <t>The metrics a growth capital or private credit investor tests first. All derived from the Operating Forecast.</t>
        </is>
      </c>
    </row>
    <row r="3">
      <c r="A3" s="5" t="inlineStr">
        <is>
          <t>All figures are hypothetical and illustrative.</t>
        </is>
      </c>
    </row>
    <row r="5">
      <c r="A5" s="12" t="inlineStr">
        <is>
          <t>Metric</t>
        </is>
      </c>
      <c r="B5" s="12" t="inlineStr">
        <is>
          <t>Year 1</t>
        </is>
      </c>
      <c r="C5" s="12" t="inlineStr">
        <is>
          <t>Year 2</t>
        </is>
      </c>
      <c r="D5" s="12" t="inlineStr">
        <is>
          <t>Year 3</t>
        </is>
      </c>
      <c r="E5" s="12" t="inlineStr">
        <is>
          <t>Year 4</t>
        </is>
      </c>
      <c r="F5" s="12" t="inlineStr">
        <is>
          <t>Year 5</t>
        </is>
      </c>
    </row>
    <row r="6">
      <c r="A6" s="7" t="inlineStr">
        <is>
          <t>ARR growth</t>
        </is>
      </c>
      <c r="B6" s="16">
        <f>'Operating Forecast'!B8</f>
        <v/>
      </c>
      <c r="C6" s="16">
        <f>'Operating Forecast'!C8</f>
        <v/>
      </c>
      <c r="D6" s="16">
        <f>'Operating Forecast'!D8</f>
        <v/>
      </c>
      <c r="E6" s="16">
        <f>'Operating Forecast'!E8</f>
        <v/>
      </c>
      <c r="F6" s="16">
        <f>'Operating Forecast'!F8</f>
        <v/>
      </c>
    </row>
    <row r="7">
      <c r="A7" s="7" t="inlineStr">
        <is>
          <t>Net revenue retention</t>
        </is>
      </c>
      <c r="B7" s="16">
        <f>Assumptions!$B$9</f>
        <v/>
      </c>
      <c r="C7" s="16">
        <f>Assumptions!$B$9</f>
        <v/>
      </c>
      <c r="D7" s="16">
        <f>Assumptions!$B$9</f>
        <v/>
      </c>
      <c r="E7" s="16">
        <f>Assumptions!$B$9</f>
        <v/>
      </c>
      <c r="F7" s="16">
        <f>Assumptions!$B$9</f>
        <v/>
      </c>
    </row>
    <row r="8">
      <c r="A8" s="7" t="inlineStr">
        <is>
          <t>Gross retention</t>
        </is>
      </c>
      <c r="B8" s="16">
        <f>Assumptions!$B$10</f>
        <v/>
      </c>
      <c r="C8" s="16">
        <f>Assumptions!$B$10</f>
        <v/>
      </c>
      <c r="D8" s="16">
        <f>Assumptions!$B$10</f>
        <v/>
      </c>
      <c r="E8" s="16">
        <f>Assumptions!$B$10</f>
        <v/>
      </c>
      <c r="F8" s="16">
        <f>Assumptions!$B$10</f>
        <v/>
      </c>
    </row>
    <row r="9">
      <c r="A9" s="7" t="inlineStr">
        <is>
          <t>Gross margin</t>
        </is>
      </c>
      <c r="B9" s="16">
        <f>'Operating Forecast'!B17</f>
        <v/>
      </c>
      <c r="C9" s="16">
        <f>'Operating Forecast'!C17</f>
        <v/>
      </c>
      <c r="D9" s="16">
        <f>'Operating Forecast'!D17</f>
        <v/>
      </c>
      <c r="E9" s="16">
        <f>'Operating Forecast'!E17</f>
        <v/>
      </c>
      <c r="F9" s="16">
        <f>'Operating Forecast'!F17</f>
        <v/>
      </c>
    </row>
    <row r="10">
      <c r="A10" s="7" t="inlineStr">
        <is>
          <t>CAC payback (months)</t>
        </is>
      </c>
      <c r="B10" s="21">
        <f>-'Operating Forecast'!B18/(('Operating Forecast'!B9+'Operating Forecast'!B10)*Assumptions!$B$11)*12</f>
        <v/>
      </c>
      <c r="C10" s="21">
        <f>-'Operating Forecast'!C18/(('Operating Forecast'!C9+'Operating Forecast'!C10)*Assumptions!$B$11)*12</f>
        <v/>
      </c>
      <c r="D10" s="21">
        <f>-'Operating Forecast'!D18/(('Operating Forecast'!D9+'Operating Forecast'!D10)*Assumptions!$B$11)*12</f>
        <v/>
      </c>
      <c r="E10" s="21">
        <f>-'Operating Forecast'!E18/(('Operating Forecast'!E9+'Operating Forecast'!E10)*Assumptions!$B$11)*12</f>
        <v/>
      </c>
      <c r="F10" s="21">
        <f>-'Operating Forecast'!F18/(('Operating Forecast'!F9+'Operating Forecast'!F10)*Assumptions!$B$11)*12</f>
        <v/>
      </c>
    </row>
    <row r="11">
      <c r="A11" s="7" t="inlineStr">
        <is>
          <t>Burn multiple</t>
        </is>
      </c>
      <c r="B11" s="22">
        <f>IF('Operating Forecast'!B28&gt;=0,"n/a",-'Operating Forecast'!B28/('Operating Forecast'!B12-'Operating Forecast'!B7))</f>
        <v/>
      </c>
      <c r="C11" s="22">
        <f>IF('Operating Forecast'!C28&gt;=0,"n/a",-'Operating Forecast'!C28/('Operating Forecast'!C12-'Operating Forecast'!C7))</f>
        <v/>
      </c>
      <c r="D11" s="22">
        <f>IF('Operating Forecast'!D28&gt;=0,"n/a",-'Operating Forecast'!D28/('Operating Forecast'!D12-'Operating Forecast'!D7))</f>
        <v/>
      </c>
      <c r="E11" s="22">
        <f>IF('Operating Forecast'!E28&gt;=0,"n/a",-'Operating Forecast'!E28/('Operating Forecast'!E12-'Operating Forecast'!E7))</f>
        <v/>
      </c>
      <c r="F11" s="22">
        <f>IF('Operating Forecast'!F28&gt;=0,"n/a",-'Operating Forecast'!F28/('Operating Forecast'!F12-'Operating Forecast'!F7))</f>
        <v/>
      </c>
    </row>
    <row r="12">
      <c r="A12" s="7" t="inlineStr">
        <is>
          <t>Rule of 40</t>
        </is>
      </c>
      <c r="B12" s="23">
        <f>'Operating Forecast'!B8*100+'Operating Forecast'!B23*100</f>
        <v/>
      </c>
      <c r="C12" s="23">
        <f>'Operating Forecast'!C8*100+'Operating Forecast'!C23*100</f>
        <v/>
      </c>
      <c r="D12" s="23">
        <f>'Operating Forecast'!D8*100+'Operating Forecast'!D23*100</f>
        <v/>
      </c>
      <c r="E12" s="23">
        <f>'Operating Forecast'!E8*100+'Operating Forecast'!E23*100</f>
        <v/>
      </c>
      <c r="F12" s="23">
        <f>'Operating Forecast'!F8*100+'Operating Forecast'!F23*100</f>
        <v/>
      </c>
    </row>
    <row r="13">
      <c r="A13" s="7" t="inlineStr">
        <is>
          <t>Customer count</t>
        </is>
      </c>
      <c r="B13" s="18">
        <f>'Operating Forecast'!B34</f>
        <v/>
      </c>
      <c r="C13" s="18">
        <f>'Operating Forecast'!C34</f>
        <v/>
      </c>
      <c r="D13" s="18">
        <f>'Operating Forecast'!D34</f>
        <v/>
      </c>
      <c r="E13" s="18">
        <f>'Operating Forecast'!E34</f>
        <v/>
      </c>
      <c r="F13" s="18">
        <f>'Operating Forecast'!F34</f>
        <v/>
      </c>
    </row>
    <row r="14">
      <c r="A14" s="7" t="inlineStr">
        <is>
          <t>Average contract value (USD thousands)</t>
        </is>
      </c>
      <c r="B14" s="18">
        <f>'Operating Forecast'!B12/'Operating Forecast'!B34*1000</f>
        <v/>
      </c>
      <c r="C14" s="18">
        <f>'Operating Forecast'!C12/'Operating Forecast'!C34*1000</f>
        <v/>
      </c>
      <c r="D14" s="18">
        <f>'Operating Forecast'!D12/'Operating Forecast'!D34*1000</f>
        <v/>
      </c>
      <c r="E14" s="18">
        <f>'Operating Forecast'!E12/'Operating Forecast'!E34*1000</f>
        <v/>
      </c>
      <c r="F14" s="18">
        <f>'Operating Forecast'!F12/'Operating Forecast'!F34*1000</f>
        <v/>
      </c>
    </row>
    <row r="15">
      <c r="A15" s="7" t="inlineStr">
        <is>
          <t>Revenue per customer (USD thousands)</t>
        </is>
      </c>
      <c r="B15" s="18">
        <f>'Operating Forecast'!B15/'Operating Forecast'!B34*1000</f>
        <v/>
      </c>
      <c r="C15" s="18">
        <f>'Operating Forecast'!C15/'Operating Forecast'!C34*1000</f>
        <v/>
      </c>
      <c r="D15" s="18">
        <f>'Operating Forecast'!D15/'Operating Forecast'!D34*1000</f>
        <v/>
      </c>
      <c r="E15" s="18">
        <f>'Operating Forecast'!E15/'Operating Forecast'!E34*1000</f>
        <v/>
      </c>
      <c r="F15" s="18">
        <f>'Operating Forecast'!F15/'Operating Forecast'!F34*1000</f>
        <v/>
      </c>
    </row>
    <row r="17" ht="58" customHeight="1">
      <c r="A17" s="13" t="inlineStr">
        <is>
          <t>Where this case is strong: net revenue retention above 100 percent means the installed base grows without new logos, and the burn multiple improves every year. Where it is weak: Rule of 40 never reaches 40 inside the forecast, and gross retention of 88 percent means 12 percent of the base is lost annually. Gross retention is the single assumption most worth challenging in diligence.</t>
        </is>
      </c>
    </row>
    <row r="19">
      <c r="A19" s="13" t="inlineStr">
        <is>
          <t>All figures are hypothetical and illustrative.</t>
        </is>
      </c>
    </row>
  </sheetData>
  <mergeCells count="4">
    <mergeCell ref="A3:F3"/>
    <mergeCell ref="A2:F2"/>
    <mergeCell ref="A1:F1"/>
    <mergeCell ref="A17:F17"/>
  </mergeCells>
  <conditionalFormatting sqref="B12:F12">
    <cfRule type="cellIs" priority="1" operator="lessThan" dxfId="0">
      <formula>40</formula>
    </cfRule>
  </conditionalFormatting>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D3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20" customWidth="1" min="2" max="2"/>
    <col width="20" customWidth="1" min="3" max="3"/>
    <col width="20" customWidth="1" min="4" max="4"/>
  </cols>
  <sheetData>
    <row r="1" ht="22" customHeight="1">
      <c r="A1" s="1" t="inlineStr">
        <is>
          <t>Capital Structures</t>
        </is>
      </c>
    </row>
    <row r="2">
      <c r="A2" s="2" t="inlineStr">
        <is>
          <t>The same capital requirement under three structures. The operating forecast is identical in every case.</t>
        </is>
      </c>
    </row>
    <row r="3">
      <c r="A3" s="5" t="inlineStr">
        <is>
          <t>All figures are hypothetical and illustrative.</t>
        </is>
      </c>
    </row>
    <row r="5">
      <c r="A5" s="12" t="inlineStr">
        <is>
          <t>Term</t>
        </is>
      </c>
      <c r="B5" s="12" t="inlineStr">
        <is>
          <t>Growth equity</t>
        </is>
      </c>
      <c r="C5" s="12" t="inlineStr">
        <is>
          <t>Private credit</t>
        </is>
      </c>
      <c r="D5" s="12" t="inlineStr">
        <is>
          <t>Blended capital</t>
        </is>
      </c>
    </row>
    <row r="6">
      <c r="A6" s="7" t="inlineStr">
        <is>
          <t>Total capital raised</t>
        </is>
      </c>
      <c r="B6" s="14">
        <f>Assumptions!$B$26</f>
        <v/>
      </c>
      <c r="C6" s="14">
        <f>Assumptions!$B$26</f>
        <v/>
      </c>
      <c r="D6" s="14">
        <f>Assumptions!$B$26</f>
        <v/>
      </c>
    </row>
    <row r="7">
      <c r="A7" s="7" t="inlineStr">
        <is>
          <t>Equity component</t>
        </is>
      </c>
      <c r="B7" s="14">
        <f>Assumptions!$B$33</f>
        <v/>
      </c>
      <c r="C7" s="14">
        <f>0</f>
        <v/>
      </c>
      <c r="D7" s="14">
        <f>Assumptions!$B$45</f>
        <v/>
      </c>
    </row>
    <row r="8">
      <c r="A8" s="7" t="inlineStr">
        <is>
          <t>Debt component</t>
        </is>
      </c>
      <c r="B8" s="14">
        <f>0</f>
        <v/>
      </c>
      <c r="C8" s="14">
        <f>Assumptions!$B$36</f>
        <v/>
      </c>
      <c r="D8" s="14">
        <f>Assumptions!$B$46</f>
        <v/>
      </c>
    </row>
    <row r="9">
      <c r="A9" s="7" t="inlineStr">
        <is>
          <t>Original issue discount rate</t>
        </is>
      </c>
      <c r="B9" s="16">
        <f>0</f>
        <v/>
      </c>
      <c r="C9" s="16">
        <f>Assumptions!$B$39</f>
        <v/>
      </c>
      <c r="D9" s="16">
        <f>Assumptions!$B$49</f>
        <v/>
      </c>
    </row>
    <row r="10">
      <c r="A10" s="7" t="inlineStr">
        <is>
          <t>Original issue discount cost</t>
        </is>
      </c>
      <c r="B10" s="14">
        <f>0</f>
        <v/>
      </c>
      <c r="C10" s="14">
        <f>C8*C9</f>
        <v/>
      </c>
      <c r="D10" s="14">
        <f>D8*D9</f>
        <v/>
      </c>
    </row>
    <row r="11">
      <c r="A11" s="7" t="inlineStr">
        <is>
          <t>Net proceeds at close</t>
        </is>
      </c>
      <c r="B11" s="17">
        <f>B7+B8-B10</f>
        <v/>
      </c>
      <c r="C11" s="17">
        <f>C7+C8-C10</f>
        <v/>
      </c>
      <c r="D11" s="17">
        <f>D7+D8-D10</f>
        <v/>
      </c>
    </row>
    <row r="12">
      <c r="A12" s="7" t="inlineStr">
        <is>
          <t>Less existing debt refinanced</t>
        </is>
      </c>
      <c r="B12" s="14">
        <f>-Assumptions!$B$27</f>
        <v/>
      </c>
      <c r="C12" s="14">
        <f>-Assumptions!$B$27</f>
        <v/>
      </c>
      <c r="D12" s="14">
        <f>-Assumptions!$B$27</f>
        <v/>
      </c>
    </row>
    <row r="13">
      <c r="A13" s="7" t="inlineStr">
        <is>
          <t>Cash at close</t>
        </is>
      </c>
      <c r="B13" s="17">
        <f>Assumptions!$B$14+B11+B12</f>
        <v/>
      </c>
      <c r="C13" s="17">
        <f>Assumptions!$B$14+C11+C12</f>
        <v/>
      </c>
      <c r="D13" s="17">
        <f>Assumptions!$B$14+D11+D12</f>
        <v/>
      </c>
    </row>
    <row r="15">
      <c r="A15" s="3" t="inlineStr">
        <is>
          <t>Ownership</t>
        </is>
      </c>
    </row>
    <row r="16">
      <c r="A16" s="7" t="inlineStr">
        <is>
          <t>Pre-money valuation</t>
        </is>
      </c>
      <c r="B16" s="14">
        <f>Assumptions!$B$6*Assumptions!$B$28</f>
        <v/>
      </c>
      <c r="C16" s="14">
        <f>Assumptions!$B$6*Assumptions!$B$28</f>
        <v/>
      </c>
      <c r="D16" s="14">
        <f>Assumptions!$B$6*Assumptions!$B$28</f>
        <v/>
      </c>
    </row>
    <row r="17">
      <c r="A17" s="7" t="inlineStr">
        <is>
          <t>Post-money valuation</t>
        </is>
      </c>
      <c r="B17" s="14">
        <f>B16+B7</f>
        <v/>
      </c>
      <c r="C17" s="14">
        <f>C16</f>
        <v/>
      </c>
      <c r="D17" s="14">
        <f>D16+D7</f>
        <v/>
      </c>
    </row>
    <row r="18">
      <c r="A18" s="7" t="inlineStr">
        <is>
          <t>Investor ownership</t>
        </is>
      </c>
      <c r="B18" s="16">
        <f>B7/B17</f>
        <v/>
      </c>
      <c r="C18" s="16">
        <f>0</f>
        <v/>
      </c>
      <c r="D18" s="16">
        <f>D7/D17</f>
        <v/>
      </c>
    </row>
    <row r="19">
      <c r="A19" s="7" t="inlineStr">
        <is>
          <t>Founder and existing holder dilution</t>
        </is>
      </c>
      <c r="B19" s="24">
        <f>B18</f>
        <v/>
      </c>
      <c r="C19" s="24">
        <f>C18</f>
        <v/>
      </c>
      <c r="D19" s="24">
        <f>D18</f>
        <v/>
      </c>
    </row>
    <row r="21">
      <c r="A21" s="3" t="inlineStr">
        <is>
          <t>Debt terms</t>
        </is>
      </c>
    </row>
    <row r="22">
      <c r="A22" s="7" t="inlineStr">
        <is>
          <t>Cash interest rate</t>
        </is>
      </c>
      <c r="B22" s="16">
        <f>0</f>
        <v/>
      </c>
      <c r="C22" s="16">
        <f>Assumptions!$B$37</f>
        <v/>
      </c>
      <c r="D22" s="16">
        <f>Assumptions!$B$47</f>
        <v/>
      </c>
    </row>
    <row r="23">
      <c r="A23" s="7" t="inlineStr">
        <is>
          <t>PIK interest rate</t>
        </is>
      </c>
      <c r="B23" s="16">
        <f>0</f>
        <v/>
      </c>
      <c r="C23" s="16">
        <f>Assumptions!$B$38</f>
        <v/>
      </c>
      <c r="D23" s="16">
        <f>Assumptions!$B$48</f>
        <v/>
      </c>
    </row>
    <row r="24">
      <c r="A24" s="7" t="inlineStr">
        <is>
          <t>Maturity (years)</t>
        </is>
      </c>
      <c r="B24" s="18">
        <f>0</f>
        <v/>
      </c>
      <c r="C24" s="18">
        <f>Assumptions!$B$40</f>
        <v/>
      </c>
      <c r="D24" s="18">
        <f>Assumptions!$B$50</f>
        <v/>
      </c>
    </row>
    <row r="25">
      <c r="A25" s="7" t="inlineStr">
        <is>
          <t>Interest only period (years)</t>
        </is>
      </c>
      <c r="B25" s="18">
        <f>0</f>
        <v/>
      </c>
      <c r="C25" s="18">
        <f>Assumptions!$B$41</f>
        <v/>
      </c>
      <c r="D25" s="18">
        <f>Assumptions!$B$51</f>
        <v/>
      </c>
    </row>
    <row r="26">
      <c r="A26" s="7" t="inlineStr">
        <is>
          <t>Annual amortisation (% of principal)</t>
        </is>
      </c>
      <c r="B26" s="16">
        <f>0</f>
        <v/>
      </c>
      <c r="C26" s="16">
        <f>Assumptions!$B$42</f>
        <v/>
      </c>
      <c r="D26" s="16">
        <f>Assumptions!$B$52</f>
        <v/>
      </c>
    </row>
    <row r="28" ht="50" customHeight="1">
      <c r="A28" s="13" t="inlineStr">
        <is>
          <t>Uses of proceeds are identical across all three structures: the existing term debt is refinanced in full at close and the balance funds product development, enterprise sales hiring, international expansion, working capital, and selective acquisitions. Holding uses constant is what makes the three structures comparable.</t>
        </is>
      </c>
    </row>
    <row r="30">
      <c r="A30" s="13" t="inlineStr">
        <is>
          <t>All figures are hypothetical and illustrative.</t>
        </is>
      </c>
    </row>
  </sheetData>
  <mergeCells count="4">
    <mergeCell ref="A1:D1"/>
    <mergeCell ref="A28:D28"/>
    <mergeCell ref="A3:D3"/>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ht="22" customHeight="1">
      <c r="A1" s="1" t="inlineStr">
        <is>
          <t>Growth Equity Case</t>
        </is>
      </c>
    </row>
    <row r="2">
      <c r="A2" s="2" t="inlineStr">
        <is>
          <t>USD 20 million of primary equity. No leverage. The safest structure and the most expensive in ownership terms.</t>
        </is>
      </c>
    </row>
    <row r="3">
      <c r="A3" s="5" t="inlineStr">
        <is>
          <t>All figures are hypothetical and illustrative.</t>
        </is>
      </c>
    </row>
    <row r="5">
      <c r="A5" s="3" t="inlineStr">
        <is>
          <t>Cash roll forward</t>
        </is>
      </c>
    </row>
    <row r="6">
      <c r="A6" s="12" t="inlineStr">
        <is>
          <t>Line item (USD millions)</t>
        </is>
      </c>
      <c r="B6" s="12" t="inlineStr">
        <is>
          <t>Year 1</t>
        </is>
      </c>
      <c r="C6" s="12" t="inlineStr">
        <is>
          <t>Year 2</t>
        </is>
      </c>
      <c r="D6" s="12" t="inlineStr">
        <is>
          <t>Year 3</t>
        </is>
      </c>
      <c r="E6" s="12" t="inlineStr">
        <is>
          <t>Year 4</t>
        </is>
      </c>
      <c r="F6" s="12" t="inlineStr">
        <is>
          <t>Year 5</t>
        </is>
      </c>
    </row>
    <row r="7">
      <c r="A7" s="7" t="inlineStr">
        <is>
          <t>Opening cash</t>
        </is>
      </c>
      <c r="B7" s="14">
        <f>'Capital Structures'!B13</f>
        <v/>
      </c>
      <c r="C7" s="14">
        <f>B11</f>
        <v/>
      </c>
      <c r="D7" s="14">
        <f>C11</f>
        <v/>
      </c>
      <c r="E7" s="14">
        <f>D11</f>
        <v/>
      </c>
      <c r="F7" s="14">
        <f>E11</f>
        <v/>
      </c>
    </row>
    <row r="8">
      <c r="A8" s="7" t="inlineStr">
        <is>
          <t>Unlevered free cash flow</t>
        </is>
      </c>
      <c r="B8" s="14">
        <f>'Operating Forecast'!B28</f>
        <v/>
      </c>
      <c r="C8" s="14">
        <f>'Operating Forecast'!C28</f>
        <v/>
      </c>
      <c r="D8" s="14">
        <f>'Operating Forecast'!D28</f>
        <v/>
      </c>
      <c r="E8" s="14">
        <f>'Operating Forecast'!E28</f>
        <v/>
      </c>
      <c r="F8" s="14">
        <f>'Operating Forecast'!F28</f>
        <v/>
      </c>
    </row>
    <row r="9">
      <c r="A9" s="7" t="inlineStr">
        <is>
          <t>Cash interest</t>
        </is>
      </c>
      <c r="B9" s="14">
        <f>0</f>
        <v/>
      </c>
      <c r="C9" s="14">
        <f>0</f>
        <v/>
      </c>
      <c r="D9" s="14">
        <f>0</f>
        <v/>
      </c>
      <c r="E9" s="14">
        <f>0</f>
        <v/>
      </c>
      <c r="F9" s="14">
        <f>0</f>
        <v/>
      </c>
    </row>
    <row r="10">
      <c r="A10" s="7" t="inlineStr">
        <is>
          <t>Amortisation</t>
        </is>
      </c>
      <c r="B10" s="14">
        <f>0</f>
        <v/>
      </c>
      <c r="C10" s="14">
        <f>0</f>
        <v/>
      </c>
      <c r="D10" s="14">
        <f>0</f>
        <v/>
      </c>
      <c r="E10" s="14">
        <f>0</f>
        <v/>
      </c>
      <c r="F10" s="14">
        <f>0</f>
        <v/>
      </c>
    </row>
    <row r="11">
      <c r="A11" s="7" t="inlineStr">
        <is>
          <t>Closing cash</t>
        </is>
      </c>
      <c r="B11" s="17">
        <f>SUM(B7:B10)</f>
        <v/>
      </c>
      <c r="C11" s="17">
        <f>SUM(C7:C10)</f>
        <v/>
      </c>
      <c r="D11" s="17">
        <f>SUM(D7:D10)</f>
        <v/>
      </c>
      <c r="E11" s="17">
        <f>SUM(E7:E10)</f>
        <v/>
      </c>
      <c r="F11" s="17">
        <f>SUM(F7:F10)</f>
        <v/>
      </c>
    </row>
    <row r="12">
      <c r="A12" s="7" t="inlineStr">
        <is>
          <t>Minimum cash covenant</t>
        </is>
      </c>
      <c r="B12" s="14">
        <f>Assumptions!$B$30</f>
        <v/>
      </c>
      <c r="C12" s="14">
        <f>Assumptions!$B$30</f>
        <v/>
      </c>
      <c r="D12" s="14">
        <f>Assumptions!$B$30</f>
        <v/>
      </c>
      <c r="E12" s="14">
        <f>Assumptions!$B$30</f>
        <v/>
      </c>
      <c r="F12" s="14">
        <f>Assumptions!$B$30</f>
        <v/>
      </c>
    </row>
    <row r="13">
      <c r="A13" s="7" t="inlineStr">
        <is>
          <t>Covenant headroom</t>
        </is>
      </c>
      <c r="B13" s="14">
        <f>B11-B12</f>
        <v/>
      </c>
      <c r="C13" s="14">
        <f>C11-C12</f>
        <v/>
      </c>
      <c r="D13" s="14">
        <f>D11-D12</f>
        <v/>
      </c>
      <c r="E13" s="14">
        <f>E11-E12</f>
        <v/>
      </c>
      <c r="F13" s="14">
        <f>F11-F12</f>
        <v/>
      </c>
    </row>
    <row r="14">
      <c r="A14" s="7" t="inlineStr">
        <is>
          <t>Covenant status</t>
        </is>
      </c>
      <c r="B14" s="15">
        <f>IF(B11&lt;B12,"BREACH","Headroom")</f>
        <v/>
      </c>
      <c r="C14" s="15">
        <f>IF(C11&lt;C12,"BREACH","Headroom")</f>
        <v/>
      </c>
      <c r="D14" s="15">
        <f>IF(D11&lt;D12,"BREACH","Headroom")</f>
        <v/>
      </c>
      <c r="E14" s="15">
        <f>IF(E11&lt;E12,"BREACH","Headroom")</f>
        <v/>
      </c>
      <c r="F14" s="15">
        <f>IF(F11&lt;F12,"BREACH","Headroom")</f>
        <v/>
      </c>
    </row>
    <row r="15">
      <c r="A15" s="7" t="inlineStr">
        <is>
          <t>Runway (months at current burn)</t>
        </is>
      </c>
      <c r="B15" s="21">
        <f>IF(B11-B7&gt;=0,"cash generative",B11/(B7-B11)*12)</f>
        <v/>
      </c>
      <c r="C15" s="21">
        <f>IF(C11-C7&gt;=0,"cash generative",C11/(C7-C11)*12)</f>
        <v/>
      </c>
      <c r="D15" s="21">
        <f>IF(D11-D7&gt;=0,"cash generative",D11/(D7-D11)*12)</f>
        <v/>
      </c>
      <c r="E15" s="21">
        <f>IF(E11-E7&gt;=0,"cash generative",E11/(E7-E11)*12)</f>
        <v/>
      </c>
      <c r="F15" s="21">
        <f>IF(F11-F7&gt;=0,"cash generative",F11/(F7-F11)*12)</f>
        <v/>
      </c>
    </row>
    <row r="17">
      <c r="A17" s="3" t="inlineStr">
        <is>
          <t>Exit and returns</t>
        </is>
      </c>
    </row>
    <row r="18">
      <c r="A18" s="7" t="inlineStr">
        <is>
          <t>Year 5 ending ARR</t>
        </is>
      </c>
      <c r="B18" s="14">
        <f>'Operating Forecast'!F12</f>
        <v/>
      </c>
    </row>
    <row r="19">
      <c r="A19" s="7" t="inlineStr">
        <is>
          <t>Exit ARR multiple</t>
        </is>
      </c>
      <c r="B19" s="22">
        <f>Assumptions!$B$29</f>
        <v/>
      </c>
    </row>
    <row r="20">
      <c r="A20" s="7" t="inlineStr">
        <is>
          <t>Exit enterprise value</t>
        </is>
      </c>
      <c r="B20" s="14">
        <f>B18*B19</f>
        <v/>
      </c>
    </row>
    <row r="21">
      <c r="A21" s="7" t="inlineStr">
        <is>
          <t>Plus year 5 cash</t>
        </is>
      </c>
      <c r="B21" s="14">
        <f>F11</f>
        <v/>
      </c>
    </row>
    <row r="22">
      <c r="A22" s="7" t="inlineStr">
        <is>
          <t>Less year 5 debt</t>
        </is>
      </c>
      <c r="B22" s="14">
        <f>0</f>
        <v/>
      </c>
    </row>
    <row r="23">
      <c r="A23" s="7" t="inlineStr">
        <is>
          <t>Exit equity value</t>
        </is>
      </c>
      <c r="B23" s="17">
        <f>B20+B21+B22</f>
        <v/>
      </c>
    </row>
    <row r="24">
      <c r="A24" s="7" t="inlineStr">
        <is>
          <t>Equity investor ownership</t>
        </is>
      </c>
      <c r="B24" s="16">
        <f>'Capital Structures'!B18</f>
        <v/>
      </c>
    </row>
    <row r="25">
      <c r="A25" s="7" t="inlineStr">
        <is>
          <t>Equity invested</t>
        </is>
      </c>
      <c r="B25" s="14">
        <f>Assumptions!$B$33</f>
        <v/>
      </c>
    </row>
    <row r="26">
      <c r="A26" s="7" t="inlineStr">
        <is>
          <t>Equity investor proceeds at exit</t>
        </is>
      </c>
      <c r="B26" s="14">
        <f>B23*B24</f>
        <v/>
      </c>
    </row>
    <row r="27">
      <c r="A27" s="7" t="inlineStr">
        <is>
          <t>Equity investor MOIC</t>
        </is>
      </c>
      <c r="B27" s="25">
        <f>IF(B25=0,"n/a",B26/B25)</f>
        <v/>
      </c>
    </row>
    <row r="28">
      <c r="A28" s="7" t="inlineStr">
        <is>
          <t>Equity investor IRR</t>
        </is>
      </c>
      <c r="B28" s="24">
        <f>IF(B25=0,"n/a",(B26/B25)^(1/5)-1)</f>
        <v/>
      </c>
    </row>
    <row r="30">
      <c r="A30" s="13" t="inlineStr">
        <is>
          <t>All figures are hypothetical and illustrative.</t>
        </is>
      </c>
    </row>
  </sheetData>
  <mergeCells count="3">
    <mergeCell ref="A3:F3"/>
    <mergeCell ref="A2:F2"/>
    <mergeCell ref="A1:F1"/>
  </mergeCells>
  <conditionalFormatting sqref="B11:F11">
    <cfRule type="cellIs" priority="1" operator="lessThan" dxfId="2">
      <formula>Assumptions!$B$30</formula>
    </cfRule>
  </conditionalFormatting>
  <conditionalFormatting sqref="B14:F14">
    <cfRule type="cellIs" priority="2" operator="equal" dxfId="2">
      <formula>"BREACH"</formula>
    </cfRule>
  </conditionalFormatting>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5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ht="22" customHeight="1">
      <c r="A1" s="1" t="inlineStr">
        <is>
          <t>Private Credit Case</t>
        </is>
      </c>
    </row>
    <row r="2">
      <c r="A2" s="2" t="inlineStr">
        <is>
          <t>USD 20 million senior secured. No dilution, and the company cannot service it from operating cash flow.</t>
        </is>
      </c>
    </row>
    <row r="3">
      <c r="A3" s="5" t="inlineStr">
        <is>
          <t>All figures are hypothetical and illustrative.</t>
        </is>
      </c>
    </row>
    <row r="5">
      <c r="A5" s="3" t="inlineStr">
        <is>
          <t>Debt schedule</t>
        </is>
      </c>
    </row>
    <row r="6">
      <c r="A6" s="12" t="inlineStr">
        <is>
          <t>Line item (USD millions)</t>
        </is>
      </c>
      <c r="B6" s="12" t="inlineStr">
        <is>
          <t>Year 1</t>
        </is>
      </c>
      <c r="C6" s="12" t="inlineStr">
        <is>
          <t>Year 2</t>
        </is>
      </c>
      <c r="D6" s="12" t="inlineStr">
        <is>
          <t>Year 3</t>
        </is>
      </c>
      <c r="E6" s="12" t="inlineStr">
        <is>
          <t>Year 4</t>
        </is>
      </c>
      <c r="F6" s="12" t="inlineStr">
        <is>
          <t>Year 5</t>
        </is>
      </c>
    </row>
    <row r="7">
      <c r="A7" s="7" t="inlineStr">
        <is>
          <t>Opening balance</t>
        </is>
      </c>
      <c r="B7" s="14">
        <f>Assumptions!$B$36</f>
        <v/>
      </c>
      <c r="C7" s="14">
        <f>B12</f>
        <v/>
      </c>
      <c r="D7" s="14">
        <f>C12</f>
        <v/>
      </c>
      <c r="E7" s="14">
        <f>D12</f>
        <v/>
      </c>
      <c r="F7" s="14">
        <f>E12</f>
        <v/>
      </c>
    </row>
    <row r="8">
      <c r="A8" s="7" t="inlineStr">
        <is>
          <t>Cash interest</t>
        </is>
      </c>
      <c r="B8" s="14">
        <f>B7*Assumptions!$B$37</f>
        <v/>
      </c>
      <c r="C8" s="14">
        <f>C7*Assumptions!$B$37</f>
        <v/>
      </c>
      <c r="D8" s="14">
        <f>D7*Assumptions!$B$37</f>
        <v/>
      </c>
      <c r="E8" s="14">
        <f>E7*Assumptions!$B$37</f>
        <v/>
      </c>
      <c r="F8" s="14">
        <f>F7*Assumptions!$B$37</f>
        <v/>
      </c>
    </row>
    <row r="9">
      <c r="A9" s="7" t="inlineStr">
        <is>
          <t>PIK interest</t>
        </is>
      </c>
      <c r="B9" s="14">
        <f>B7*Assumptions!$B$38</f>
        <v/>
      </c>
      <c r="C9" s="14">
        <f>C7*Assumptions!$B$38</f>
        <v/>
      </c>
      <c r="D9" s="14">
        <f>D7*Assumptions!$B$38</f>
        <v/>
      </c>
      <c r="E9" s="14">
        <f>E7*Assumptions!$B$38</f>
        <v/>
      </c>
      <c r="F9" s="14">
        <f>F7*Assumptions!$B$38</f>
        <v/>
      </c>
    </row>
    <row r="10">
      <c r="A10" s="7" t="inlineStr">
        <is>
          <t>Amortisation</t>
        </is>
      </c>
      <c r="B10" s="14">
        <f>IF(1&gt;Assumptions!$B$41,Assumptions!$B$36*Assumptions!$B$42,0)</f>
        <v/>
      </c>
      <c r="C10" s="14">
        <f>IF(2&gt;Assumptions!$B$41,Assumptions!$B$36*Assumptions!$B$42,0)</f>
        <v/>
      </c>
      <c r="D10" s="14">
        <f>IF(3&gt;Assumptions!$B$41,Assumptions!$B$36*Assumptions!$B$42,0)</f>
        <v/>
      </c>
      <c r="E10" s="14">
        <f>IF(4&gt;Assumptions!$B$41,Assumptions!$B$36*Assumptions!$B$42,0)</f>
        <v/>
      </c>
      <c r="F10" s="14">
        <f>IF(5&gt;Assumptions!$B$41,Assumptions!$B$36*Assumptions!$B$42,0)</f>
        <v/>
      </c>
    </row>
    <row r="11">
      <c r="A11" s="7" t="inlineStr">
        <is>
          <t>Debt service</t>
        </is>
      </c>
      <c r="B11" s="17">
        <f>B8+B10</f>
        <v/>
      </c>
      <c r="C11" s="17">
        <f>C8+C10</f>
        <v/>
      </c>
      <c r="D11" s="17">
        <f>D8+D10</f>
        <v/>
      </c>
      <c r="E11" s="17">
        <f>E8+E10</f>
        <v/>
      </c>
      <c r="F11" s="17">
        <f>F8+F10</f>
        <v/>
      </c>
    </row>
    <row r="12">
      <c r="A12" s="7" t="inlineStr">
        <is>
          <t>Closing balance</t>
        </is>
      </c>
      <c r="B12" s="17">
        <f>B7+B9-B10</f>
        <v/>
      </c>
      <c r="C12" s="17">
        <f>C7+C9-C10</f>
        <v/>
      </c>
      <c r="D12" s="17">
        <f>D7+D9-D10</f>
        <v/>
      </c>
      <c r="E12" s="17">
        <f>E7+E9-E10</f>
        <v/>
      </c>
      <c r="F12" s="17">
        <f>F7+F9-F10</f>
        <v/>
      </c>
    </row>
    <row r="13">
      <c r="A13" s="7" t="inlineStr">
        <is>
          <t>Debt to ending ARR</t>
        </is>
      </c>
      <c r="B13" s="22">
        <f>B12/'Operating Forecast'!B12</f>
        <v/>
      </c>
      <c r="C13" s="22">
        <f>C12/'Operating Forecast'!C12</f>
        <v/>
      </c>
      <c r="D13" s="22">
        <f>D12/'Operating Forecast'!D12</f>
        <v/>
      </c>
      <c r="E13" s="22">
        <f>E12/'Operating Forecast'!E12</f>
        <v/>
      </c>
      <c r="F13" s="22">
        <f>F12/'Operating Forecast'!F12</f>
        <v/>
      </c>
    </row>
    <row r="14">
      <c r="A14" s="7" t="inlineStr">
        <is>
          <t>Interest coverage (EBITDA / cash interest)</t>
        </is>
      </c>
      <c r="B14" s="22">
        <f>IF(B8=0,"n/a",'Operating Forecast'!B22/B8)</f>
        <v/>
      </c>
      <c r="C14" s="22">
        <f>IF(C8=0,"n/a",'Operating Forecast'!C22/C8)</f>
        <v/>
      </c>
      <c r="D14" s="22">
        <f>IF(D8=0,"n/a",'Operating Forecast'!D22/D8)</f>
        <v/>
      </c>
      <c r="E14" s="22">
        <f>IF(E8=0,"n/a",'Operating Forecast'!E22/E8)</f>
        <v/>
      </c>
      <c r="F14" s="22">
        <f>IF(F8=0,"n/a",'Operating Forecast'!F22/F8)</f>
        <v/>
      </c>
    </row>
    <row r="15">
      <c r="A15" s="7" t="inlineStr">
        <is>
          <t>Debt service coverage ratio</t>
        </is>
      </c>
      <c r="B15" s="22">
        <f>IF(B11=0,"n/a",('Operating Forecast'!B22+'Operating Forecast'!B26)/B11)</f>
        <v/>
      </c>
      <c r="C15" s="22">
        <f>IF(C11=0,"n/a",('Operating Forecast'!C22+'Operating Forecast'!C26)/C11)</f>
        <v/>
      </c>
      <c r="D15" s="22">
        <f>IF(D11=0,"n/a",('Operating Forecast'!D22+'Operating Forecast'!D26)/D11)</f>
        <v/>
      </c>
      <c r="E15" s="22">
        <f>IF(E11=0,"n/a",('Operating Forecast'!E22+'Operating Forecast'!E26)/E11)</f>
        <v/>
      </c>
      <c r="F15" s="22">
        <f>IF(F11=0,"n/a",('Operating Forecast'!F22+'Operating Forecast'!F26)/F11)</f>
        <v/>
      </c>
    </row>
    <row r="17">
      <c r="A17" s="3" t="inlineStr">
        <is>
          <t>Cash roll forward</t>
        </is>
      </c>
    </row>
    <row r="18">
      <c r="A18" s="12" t="inlineStr">
        <is>
          <t>Line item (USD millions)</t>
        </is>
      </c>
      <c r="B18" s="12" t="inlineStr">
        <is>
          <t>Year 1</t>
        </is>
      </c>
      <c r="C18" s="12" t="inlineStr">
        <is>
          <t>Year 2</t>
        </is>
      </c>
      <c r="D18" s="12" t="inlineStr">
        <is>
          <t>Year 3</t>
        </is>
      </c>
      <c r="E18" s="12" t="inlineStr">
        <is>
          <t>Year 4</t>
        </is>
      </c>
      <c r="F18" s="12" t="inlineStr">
        <is>
          <t>Year 5</t>
        </is>
      </c>
    </row>
    <row r="19">
      <c r="A19" s="7" t="inlineStr">
        <is>
          <t>Opening cash</t>
        </is>
      </c>
      <c r="B19" s="14">
        <f>'Capital Structures'!C13</f>
        <v/>
      </c>
      <c r="C19" s="14">
        <f>B23</f>
        <v/>
      </c>
      <c r="D19" s="14">
        <f>C23</f>
        <v/>
      </c>
      <c r="E19" s="14">
        <f>D23</f>
        <v/>
      </c>
      <c r="F19" s="14">
        <f>E23</f>
        <v/>
      </c>
    </row>
    <row r="20">
      <c r="A20" s="7" t="inlineStr">
        <is>
          <t>Unlevered free cash flow</t>
        </is>
      </c>
      <c r="B20" s="14">
        <f>'Operating Forecast'!B28</f>
        <v/>
      </c>
      <c r="C20" s="14">
        <f>'Operating Forecast'!C28</f>
        <v/>
      </c>
      <c r="D20" s="14">
        <f>'Operating Forecast'!D28</f>
        <v/>
      </c>
      <c r="E20" s="14">
        <f>'Operating Forecast'!E28</f>
        <v/>
      </c>
      <c r="F20" s="14">
        <f>'Operating Forecast'!F28</f>
        <v/>
      </c>
    </row>
    <row r="21">
      <c r="A21" s="7" t="inlineStr">
        <is>
          <t>Cash interest</t>
        </is>
      </c>
      <c r="B21" s="14">
        <f>-B8</f>
        <v/>
      </c>
      <c r="C21" s="14">
        <f>-C8</f>
        <v/>
      </c>
      <c r="D21" s="14">
        <f>-D8</f>
        <v/>
      </c>
      <c r="E21" s="14">
        <f>-E8</f>
        <v/>
      </c>
      <c r="F21" s="14">
        <f>-F8</f>
        <v/>
      </c>
    </row>
    <row r="22">
      <c r="A22" s="7" t="inlineStr">
        <is>
          <t>Amortisation</t>
        </is>
      </c>
      <c r="B22" s="14">
        <f>-B10</f>
        <v/>
      </c>
      <c r="C22" s="14">
        <f>-C10</f>
        <v/>
      </c>
      <c r="D22" s="14">
        <f>-D10</f>
        <v/>
      </c>
      <c r="E22" s="14">
        <f>-E10</f>
        <v/>
      </c>
      <c r="F22" s="14">
        <f>-F10</f>
        <v/>
      </c>
    </row>
    <row r="23">
      <c r="A23" s="7" t="inlineStr">
        <is>
          <t>Closing cash</t>
        </is>
      </c>
      <c r="B23" s="17">
        <f>SUM(B19:B22)</f>
        <v/>
      </c>
      <c r="C23" s="17">
        <f>SUM(C19:C22)</f>
        <v/>
      </c>
      <c r="D23" s="17">
        <f>SUM(D19:D22)</f>
        <v/>
      </c>
      <c r="E23" s="17">
        <f>SUM(E19:E22)</f>
        <v/>
      </c>
      <c r="F23" s="17">
        <f>SUM(F19:F22)</f>
        <v/>
      </c>
    </row>
    <row r="24">
      <c r="A24" s="7" t="inlineStr">
        <is>
          <t>Minimum cash covenant</t>
        </is>
      </c>
      <c r="B24" s="14">
        <f>Assumptions!$B$30</f>
        <v/>
      </c>
      <c r="C24" s="14">
        <f>Assumptions!$B$30</f>
        <v/>
      </c>
      <c r="D24" s="14">
        <f>Assumptions!$B$30</f>
        <v/>
      </c>
      <c r="E24" s="14">
        <f>Assumptions!$B$30</f>
        <v/>
      </c>
      <c r="F24" s="14">
        <f>Assumptions!$B$30</f>
        <v/>
      </c>
    </row>
    <row r="25">
      <c r="A25" s="7" t="inlineStr">
        <is>
          <t>Covenant headroom</t>
        </is>
      </c>
      <c r="B25" s="14">
        <f>B23-B24</f>
        <v/>
      </c>
      <c r="C25" s="14">
        <f>C23-C24</f>
        <v/>
      </c>
      <c r="D25" s="14">
        <f>D23-D24</f>
        <v/>
      </c>
      <c r="E25" s="14">
        <f>E23-E24</f>
        <v/>
      </c>
      <c r="F25" s="14">
        <f>F23-F24</f>
        <v/>
      </c>
    </row>
    <row r="26">
      <c r="A26" s="7" t="inlineStr">
        <is>
          <t>Covenant status</t>
        </is>
      </c>
      <c r="B26" s="15">
        <f>IF(B23&lt;B24,"BREACH","Headroom")</f>
        <v/>
      </c>
      <c r="C26" s="15">
        <f>IF(C23&lt;C24,"BREACH","Headroom")</f>
        <v/>
      </c>
      <c r="D26" s="15">
        <f>IF(D23&lt;D24,"BREACH","Headroom")</f>
        <v/>
      </c>
      <c r="E26" s="15">
        <f>IF(E23&lt;E24,"BREACH","Headroom")</f>
        <v/>
      </c>
      <c r="F26" s="15">
        <f>IF(F23&lt;F24,"BREACH","Headroom")</f>
        <v/>
      </c>
    </row>
    <row r="27">
      <c r="A27" s="7" t="inlineStr">
        <is>
          <t>Runway (months at current burn)</t>
        </is>
      </c>
      <c r="B27" s="21">
        <f>IF(B23-B19&gt;=0,"cash generative",B23/(B19-B23)*12)</f>
        <v/>
      </c>
      <c r="C27" s="21">
        <f>IF(C23-C19&gt;=0,"cash generative",C23/(C19-C23)*12)</f>
        <v/>
      </c>
      <c r="D27" s="21">
        <f>IF(D23-D19&gt;=0,"cash generative",D23/(D19-D23)*12)</f>
        <v/>
      </c>
      <c r="E27" s="21">
        <f>IF(E23-E19&gt;=0,"cash generative",E23/(E19-E23)*12)</f>
        <v/>
      </c>
      <c r="F27" s="21">
        <f>IF(F23-F19&gt;=0,"cash generative",F23/(F19-F23)*12)</f>
        <v/>
      </c>
    </row>
    <row r="29">
      <c r="A29" s="3" t="inlineStr">
        <is>
          <t>Exit and returns</t>
        </is>
      </c>
    </row>
    <row r="30">
      <c r="A30" s="7" t="inlineStr">
        <is>
          <t>Year 5 ending ARR</t>
        </is>
      </c>
      <c r="B30" s="14">
        <f>'Operating Forecast'!F12</f>
        <v/>
      </c>
    </row>
    <row r="31">
      <c r="A31" s="7" t="inlineStr">
        <is>
          <t>Exit ARR multiple</t>
        </is>
      </c>
      <c r="B31" s="22">
        <f>Assumptions!$B$29</f>
        <v/>
      </c>
    </row>
    <row r="32">
      <c r="A32" s="7" t="inlineStr">
        <is>
          <t>Exit enterprise value</t>
        </is>
      </c>
      <c r="B32" s="14">
        <f>B30*B31</f>
        <v/>
      </c>
    </row>
    <row r="33">
      <c r="A33" s="7" t="inlineStr">
        <is>
          <t>Plus year 5 cash</t>
        </is>
      </c>
      <c r="B33" s="14">
        <f>F23</f>
        <v/>
      </c>
    </row>
    <row r="34">
      <c r="A34" s="7" t="inlineStr">
        <is>
          <t>Less year 5 debt</t>
        </is>
      </c>
      <c r="B34" s="14">
        <f>-F12</f>
        <v/>
      </c>
    </row>
    <row r="35">
      <c r="A35" s="7" t="inlineStr">
        <is>
          <t>Exit equity value</t>
        </is>
      </c>
      <c r="B35" s="17">
        <f>B32+B33+B34</f>
        <v/>
      </c>
    </row>
    <row r="36">
      <c r="A36" s="7" t="inlineStr">
        <is>
          <t>Equity investor ownership</t>
        </is>
      </c>
      <c r="B36" s="16">
        <f>'Capital Structures'!C18</f>
        <v/>
      </c>
    </row>
    <row r="37">
      <c r="A37" s="7" t="inlineStr">
        <is>
          <t>Equity invested</t>
        </is>
      </c>
      <c r="B37" s="14">
        <f>0</f>
        <v/>
      </c>
    </row>
    <row r="38">
      <c r="A38" s="7" t="inlineStr">
        <is>
          <t>Equity investor proceeds at exit</t>
        </is>
      </c>
      <c r="B38" s="14">
        <f>B35*B36</f>
        <v/>
      </c>
    </row>
    <row r="39">
      <c r="A39" s="7" t="inlineStr">
        <is>
          <t>Equity investor MOIC</t>
        </is>
      </c>
      <c r="B39" s="25">
        <f>IF(B37=0,"n/a",B38/B37)</f>
        <v/>
      </c>
    </row>
    <row r="40">
      <c r="A40" s="7" t="inlineStr">
        <is>
          <t>Equity investor IRR</t>
        </is>
      </c>
      <c r="B40" s="24">
        <f>IF(B37=0,"n/a",(B38/B37)^(1/5)-1)</f>
        <v/>
      </c>
    </row>
    <row r="42">
      <c r="A42" s="3" t="inlineStr">
        <is>
          <t>Debt investor return</t>
        </is>
      </c>
    </row>
    <row r="43">
      <c r="A43" s="7" t="inlineStr">
        <is>
          <t>Principal advanced</t>
        </is>
      </c>
      <c r="B43" s="14">
        <f>Assumptions!$B$36</f>
        <v/>
      </c>
    </row>
    <row r="44">
      <c r="A44" s="7" t="inlineStr">
        <is>
          <t>Less original issue discount</t>
        </is>
      </c>
      <c r="B44" s="14">
        <f>-Assumptions!$B$36*Assumptions!$B$39</f>
        <v/>
      </c>
    </row>
    <row r="45">
      <c r="A45" s="7" t="inlineStr">
        <is>
          <t>Net outlay at close</t>
        </is>
      </c>
      <c r="B45" s="17">
        <f>B43+B44</f>
        <v/>
      </c>
    </row>
    <row r="46">
      <c r="A46" s="7" t="inlineStr">
        <is>
          <t>Total cash interest received</t>
        </is>
      </c>
      <c r="B46" s="14">
        <f>SUM(B8:F8)</f>
        <v/>
      </c>
    </row>
    <row r="47">
      <c r="A47" s="7" t="inlineStr">
        <is>
          <t>Total amortisation received</t>
        </is>
      </c>
      <c r="B47" s="14">
        <f>SUM(B10:F10)</f>
        <v/>
      </c>
    </row>
    <row r="48">
      <c r="A48" s="7" t="inlineStr">
        <is>
          <t>Balance repaid at maturity</t>
        </is>
      </c>
      <c r="B48" s="14">
        <f>F12</f>
        <v/>
      </c>
    </row>
    <row r="49">
      <c r="A49" s="7" t="inlineStr">
        <is>
          <t>Total received</t>
        </is>
      </c>
      <c r="B49" s="17">
        <f>B46+B47+B48</f>
        <v/>
      </c>
    </row>
    <row r="50">
      <c r="A50" s="7" t="inlineStr">
        <is>
          <t>Debt investor MOIC</t>
        </is>
      </c>
      <c r="B50" s="25">
        <f>B49/B45</f>
        <v/>
      </c>
    </row>
    <row r="51">
      <c r="A51" s="7" t="inlineStr">
        <is>
          <t>Refinancing risk at maturity</t>
        </is>
      </c>
      <c r="B51" s="15">
        <f>IF(F12&gt;0,"Yes, balance of "&amp;TEXT(F12,"0.0")&amp;"m outstanding at maturity","No")</f>
        <v/>
      </c>
    </row>
    <row r="53">
      <c r="A53" s="13" t="inlineStr">
        <is>
          <t>All figures are hypothetical and illustrative.</t>
        </is>
      </c>
    </row>
  </sheetData>
  <mergeCells count="3">
    <mergeCell ref="A3:F3"/>
    <mergeCell ref="A2:F2"/>
    <mergeCell ref="A1:F1"/>
  </mergeCells>
  <conditionalFormatting sqref="B14:F15">
    <cfRule type="cellIs" priority="1" operator="lessThan" dxfId="0">
      <formula>1</formula>
    </cfRule>
  </conditionalFormatting>
  <conditionalFormatting sqref="B23:F23">
    <cfRule type="cellIs" priority="2" operator="lessThan" dxfId="2">
      <formula>Assumptions!$B$30</formula>
    </cfRule>
  </conditionalFormatting>
  <conditionalFormatting sqref="B26:F26">
    <cfRule type="cellIs" priority="3" operator="equal" dxfId="2">
      <formula>"BREACH"</formula>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F5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ht="22" customHeight="1">
      <c r="A1" s="1" t="inlineStr">
        <is>
          <t>Blended Capital Case</t>
        </is>
      </c>
    </row>
    <row r="2">
      <c r="A2" s="2" t="inlineStr">
        <is>
          <t>USD 8 million of primary equity alongside a USD 12 million senior secured facility. The recommended structure.</t>
        </is>
      </c>
    </row>
    <row r="3">
      <c r="A3" s="5" t="inlineStr">
        <is>
          <t>All figures are hypothetical and illustrative.</t>
        </is>
      </c>
    </row>
    <row r="5">
      <c r="A5" s="3" t="inlineStr">
        <is>
          <t>Debt schedule</t>
        </is>
      </c>
    </row>
    <row r="6">
      <c r="A6" s="12" t="inlineStr">
        <is>
          <t>Line item (USD millions)</t>
        </is>
      </c>
      <c r="B6" s="12" t="inlineStr">
        <is>
          <t>Year 1</t>
        </is>
      </c>
      <c r="C6" s="12" t="inlineStr">
        <is>
          <t>Year 2</t>
        </is>
      </c>
      <c r="D6" s="12" t="inlineStr">
        <is>
          <t>Year 3</t>
        </is>
      </c>
      <c r="E6" s="12" t="inlineStr">
        <is>
          <t>Year 4</t>
        </is>
      </c>
      <c r="F6" s="12" t="inlineStr">
        <is>
          <t>Year 5</t>
        </is>
      </c>
    </row>
    <row r="7">
      <c r="A7" s="7" t="inlineStr">
        <is>
          <t>Opening balance</t>
        </is>
      </c>
      <c r="B7" s="14">
        <f>Assumptions!$B$46</f>
        <v/>
      </c>
      <c r="C7" s="14">
        <f>B12</f>
        <v/>
      </c>
      <c r="D7" s="14">
        <f>C12</f>
        <v/>
      </c>
      <c r="E7" s="14">
        <f>D12</f>
        <v/>
      </c>
      <c r="F7" s="14">
        <f>E12</f>
        <v/>
      </c>
    </row>
    <row r="8">
      <c r="A8" s="7" t="inlineStr">
        <is>
          <t>Cash interest</t>
        </is>
      </c>
      <c r="B8" s="14">
        <f>B7*Assumptions!$B$47</f>
        <v/>
      </c>
      <c r="C8" s="14">
        <f>C7*Assumptions!$B$47</f>
        <v/>
      </c>
      <c r="D8" s="14">
        <f>D7*Assumptions!$B$47</f>
        <v/>
      </c>
      <c r="E8" s="14">
        <f>E7*Assumptions!$B$47</f>
        <v/>
      </c>
      <c r="F8" s="14">
        <f>F7*Assumptions!$B$47</f>
        <v/>
      </c>
    </row>
    <row r="9">
      <c r="A9" s="7" t="inlineStr">
        <is>
          <t>PIK interest</t>
        </is>
      </c>
      <c r="B9" s="14">
        <f>B7*Assumptions!$B$48</f>
        <v/>
      </c>
      <c r="C9" s="14">
        <f>C7*Assumptions!$B$48</f>
        <v/>
      </c>
      <c r="D9" s="14">
        <f>D7*Assumptions!$B$48</f>
        <v/>
      </c>
      <c r="E9" s="14">
        <f>E7*Assumptions!$B$48</f>
        <v/>
      </c>
      <c r="F9" s="14">
        <f>F7*Assumptions!$B$48</f>
        <v/>
      </c>
    </row>
    <row r="10">
      <c r="A10" s="7" t="inlineStr">
        <is>
          <t>Amortisation</t>
        </is>
      </c>
      <c r="B10" s="14">
        <f>IF(1&gt;Assumptions!$B$51,Assumptions!$B$46*Assumptions!$B$52,0)</f>
        <v/>
      </c>
      <c r="C10" s="14">
        <f>IF(2&gt;Assumptions!$B$51,Assumptions!$B$46*Assumptions!$B$52,0)</f>
        <v/>
      </c>
      <c r="D10" s="14">
        <f>IF(3&gt;Assumptions!$B$51,Assumptions!$B$46*Assumptions!$B$52,0)</f>
        <v/>
      </c>
      <c r="E10" s="14">
        <f>IF(4&gt;Assumptions!$B$51,Assumptions!$B$46*Assumptions!$B$52,0)</f>
        <v/>
      </c>
      <c r="F10" s="14">
        <f>IF(5&gt;Assumptions!$B$51,Assumptions!$B$46*Assumptions!$B$52,0)</f>
        <v/>
      </c>
    </row>
    <row r="11">
      <c r="A11" s="7" t="inlineStr">
        <is>
          <t>Debt service</t>
        </is>
      </c>
      <c r="B11" s="17">
        <f>B8+B10</f>
        <v/>
      </c>
      <c r="C11" s="17">
        <f>C8+C10</f>
        <v/>
      </c>
      <c r="D11" s="17">
        <f>D8+D10</f>
        <v/>
      </c>
      <c r="E11" s="17">
        <f>E8+E10</f>
        <v/>
      </c>
      <c r="F11" s="17">
        <f>F8+F10</f>
        <v/>
      </c>
    </row>
    <row r="12">
      <c r="A12" s="7" t="inlineStr">
        <is>
          <t>Closing balance</t>
        </is>
      </c>
      <c r="B12" s="17">
        <f>B7+B9-B10</f>
        <v/>
      </c>
      <c r="C12" s="17">
        <f>C7+C9-C10</f>
        <v/>
      </c>
      <c r="D12" s="17">
        <f>D7+D9-D10</f>
        <v/>
      </c>
      <c r="E12" s="17">
        <f>E7+E9-E10</f>
        <v/>
      </c>
      <c r="F12" s="17">
        <f>F7+F9-F10</f>
        <v/>
      </c>
    </row>
    <row r="13">
      <c r="A13" s="7" t="inlineStr">
        <is>
          <t>Debt to ending ARR</t>
        </is>
      </c>
      <c r="B13" s="22">
        <f>B12/'Operating Forecast'!B12</f>
        <v/>
      </c>
      <c r="C13" s="22">
        <f>C12/'Operating Forecast'!C12</f>
        <v/>
      </c>
      <c r="D13" s="22">
        <f>D12/'Operating Forecast'!D12</f>
        <v/>
      </c>
      <c r="E13" s="22">
        <f>E12/'Operating Forecast'!E12</f>
        <v/>
      </c>
      <c r="F13" s="22">
        <f>F12/'Operating Forecast'!F12</f>
        <v/>
      </c>
    </row>
    <row r="14">
      <c r="A14" s="7" t="inlineStr">
        <is>
          <t>Interest coverage (EBITDA / cash interest)</t>
        </is>
      </c>
      <c r="B14" s="22">
        <f>IF(B8=0,"n/a",'Operating Forecast'!B22/B8)</f>
        <v/>
      </c>
      <c r="C14" s="22">
        <f>IF(C8=0,"n/a",'Operating Forecast'!C22/C8)</f>
        <v/>
      </c>
      <c r="D14" s="22">
        <f>IF(D8=0,"n/a",'Operating Forecast'!D22/D8)</f>
        <v/>
      </c>
      <c r="E14" s="22">
        <f>IF(E8=0,"n/a",'Operating Forecast'!E22/E8)</f>
        <v/>
      </c>
      <c r="F14" s="22">
        <f>IF(F8=0,"n/a",'Operating Forecast'!F22/F8)</f>
        <v/>
      </c>
    </row>
    <row r="15">
      <c r="A15" s="7" t="inlineStr">
        <is>
          <t>Debt service coverage ratio</t>
        </is>
      </c>
      <c r="B15" s="22">
        <f>IF(B11=0,"n/a",('Operating Forecast'!B22+'Operating Forecast'!B26)/B11)</f>
        <v/>
      </c>
      <c r="C15" s="22">
        <f>IF(C11=0,"n/a",('Operating Forecast'!C22+'Operating Forecast'!C26)/C11)</f>
        <v/>
      </c>
      <c r="D15" s="22">
        <f>IF(D11=0,"n/a",('Operating Forecast'!D22+'Operating Forecast'!D26)/D11)</f>
        <v/>
      </c>
      <c r="E15" s="22">
        <f>IF(E11=0,"n/a",('Operating Forecast'!E22+'Operating Forecast'!E26)/E11)</f>
        <v/>
      </c>
      <c r="F15" s="22">
        <f>IF(F11=0,"n/a",('Operating Forecast'!F22+'Operating Forecast'!F26)/F11)</f>
        <v/>
      </c>
    </row>
    <row r="17">
      <c r="A17" s="3" t="inlineStr">
        <is>
          <t>Cash roll forward</t>
        </is>
      </c>
    </row>
    <row r="18">
      <c r="A18" s="12" t="inlineStr">
        <is>
          <t>Line item (USD millions)</t>
        </is>
      </c>
      <c r="B18" s="12" t="inlineStr">
        <is>
          <t>Year 1</t>
        </is>
      </c>
      <c r="C18" s="12" t="inlineStr">
        <is>
          <t>Year 2</t>
        </is>
      </c>
      <c r="D18" s="12" t="inlineStr">
        <is>
          <t>Year 3</t>
        </is>
      </c>
      <c r="E18" s="12" t="inlineStr">
        <is>
          <t>Year 4</t>
        </is>
      </c>
      <c r="F18" s="12" t="inlineStr">
        <is>
          <t>Year 5</t>
        </is>
      </c>
    </row>
    <row r="19">
      <c r="A19" s="7" t="inlineStr">
        <is>
          <t>Opening cash</t>
        </is>
      </c>
      <c r="B19" s="14">
        <f>'Capital Structures'!D13</f>
        <v/>
      </c>
      <c r="C19" s="14">
        <f>B23</f>
        <v/>
      </c>
      <c r="D19" s="14">
        <f>C23</f>
        <v/>
      </c>
      <c r="E19" s="14">
        <f>D23</f>
        <v/>
      </c>
      <c r="F19" s="14">
        <f>E23</f>
        <v/>
      </c>
    </row>
    <row r="20">
      <c r="A20" s="7" t="inlineStr">
        <is>
          <t>Unlevered free cash flow</t>
        </is>
      </c>
      <c r="B20" s="14">
        <f>'Operating Forecast'!B28</f>
        <v/>
      </c>
      <c r="C20" s="14">
        <f>'Operating Forecast'!C28</f>
        <v/>
      </c>
      <c r="D20" s="14">
        <f>'Operating Forecast'!D28</f>
        <v/>
      </c>
      <c r="E20" s="14">
        <f>'Operating Forecast'!E28</f>
        <v/>
      </c>
      <c r="F20" s="14">
        <f>'Operating Forecast'!F28</f>
        <v/>
      </c>
    </row>
    <row r="21">
      <c r="A21" s="7" t="inlineStr">
        <is>
          <t>Cash interest</t>
        </is>
      </c>
      <c r="B21" s="14">
        <f>-B8</f>
        <v/>
      </c>
      <c r="C21" s="14">
        <f>-C8</f>
        <v/>
      </c>
      <c r="D21" s="14">
        <f>-D8</f>
        <v/>
      </c>
      <c r="E21" s="14">
        <f>-E8</f>
        <v/>
      </c>
      <c r="F21" s="14">
        <f>-F8</f>
        <v/>
      </c>
    </row>
    <row r="22">
      <c r="A22" s="7" t="inlineStr">
        <is>
          <t>Amortisation</t>
        </is>
      </c>
      <c r="B22" s="14">
        <f>-B10</f>
        <v/>
      </c>
      <c r="C22" s="14">
        <f>-C10</f>
        <v/>
      </c>
      <c r="D22" s="14">
        <f>-D10</f>
        <v/>
      </c>
      <c r="E22" s="14">
        <f>-E10</f>
        <v/>
      </c>
      <c r="F22" s="14">
        <f>-F10</f>
        <v/>
      </c>
    </row>
    <row r="23">
      <c r="A23" s="7" t="inlineStr">
        <is>
          <t>Closing cash</t>
        </is>
      </c>
      <c r="B23" s="17">
        <f>SUM(B19:B22)</f>
        <v/>
      </c>
      <c r="C23" s="17">
        <f>SUM(C19:C22)</f>
        <v/>
      </c>
      <c r="D23" s="17">
        <f>SUM(D19:D22)</f>
        <v/>
      </c>
      <c r="E23" s="17">
        <f>SUM(E19:E22)</f>
        <v/>
      </c>
      <c r="F23" s="17">
        <f>SUM(F19:F22)</f>
        <v/>
      </c>
    </row>
    <row r="24">
      <c r="A24" s="7" t="inlineStr">
        <is>
          <t>Minimum cash covenant</t>
        </is>
      </c>
      <c r="B24" s="14">
        <f>Assumptions!$B$30</f>
        <v/>
      </c>
      <c r="C24" s="14">
        <f>Assumptions!$B$30</f>
        <v/>
      </c>
      <c r="D24" s="14">
        <f>Assumptions!$B$30</f>
        <v/>
      </c>
      <c r="E24" s="14">
        <f>Assumptions!$B$30</f>
        <v/>
      </c>
      <c r="F24" s="14">
        <f>Assumptions!$B$30</f>
        <v/>
      </c>
    </row>
    <row r="25">
      <c r="A25" s="7" t="inlineStr">
        <is>
          <t>Covenant headroom</t>
        </is>
      </c>
      <c r="B25" s="14">
        <f>B23-B24</f>
        <v/>
      </c>
      <c r="C25" s="14">
        <f>C23-C24</f>
        <v/>
      </c>
      <c r="D25" s="14">
        <f>D23-D24</f>
        <v/>
      </c>
      <c r="E25" s="14">
        <f>E23-E24</f>
        <v/>
      </c>
      <c r="F25" s="14">
        <f>F23-F24</f>
        <v/>
      </c>
    </row>
    <row r="26">
      <c r="A26" s="7" t="inlineStr">
        <is>
          <t>Covenant status</t>
        </is>
      </c>
      <c r="B26" s="15">
        <f>IF(B23&lt;B24,"BREACH","Headroom")</f>
        <v/>
      </c>
      <c r="C26" s="15">
        <f>IF(C23&lt;C24,"BREACH","Headroom")</f>
        <v/>
      </c>
      <c r="D26" s="15">
        <f>IF(D23&lt;D24,"BREACH","Headroom")</f>
        <v/>
      </c>
      <c r="E26" s="15">
        <f>IF(E23&lt;E24,"BREACH","Headroom")</f>
        <v/>
      </c>
      <c r="F26" s="15">
        <f>IF(F23&lt;F24,"BREACH","Headroom")</f>
        <v/>
      </c>
    </row>
    <row r="27">
      <c r="A27" s="7" t="inlineStr">
        <is>
          <t>Runway (months at current burn)</t>
        </is>
      </c>
      <c r="B27" s="21">
        <f>IF(B23-B19&gt;=0,"cash generative",B23/(B19-B23)*12)</f>
        <v/>
      </c>
      <c r="C27" s="21">
        <f>IF(C23-C19&gt;=0,"cash generative",C23/(C19-C23)*12)</f>
        <v/>
      </c>
      <c r="D27" s="21">
        <f>IF(D23-D19&gt;=0,"cash generative",D23/(D19-D23)*12)</f>
        <v/>
      </c>
      <c r="E27" s="21">
        <f>IF(E23-E19&gt;=0,"cash generative",E23/(E19-E23)*12)</f>
        <v/>
      </c>
      <c r="F27" s="21">
        <f>IF(F23-F19&gt;=0,"cash generative",F23/(F19-F23)*12)</f>
        <v/>
      </c>
    </row>
    <row r="29">
      <c r="A29" s="3" t="inlineStr">
        <is>
          <t>Exit and returns</t>
        </is>
      </c>
    </row>
    <row r="30">
      <c r="A30" s="7" t="inlineStr">
        <is>
          <t>Year 5 ending ARR</t>
        </is>
      </c>
      <c r="B30" s="14">
        <f>'Operating Forecast'!F12</f>
        <v/>
      </c>
    </row>
    <row r="31">
      <c r="A31" s="7" t="inlineStr">
        <is>
          <t>Exit ARR multiple</t>
        </is>
      </c>
      <c r="B31" s="22">
        <f>Assumptions!$B$29</f>
        <v/>
      </c>
    </row>
    <row r="32">
      <c r="A32" s="7" t="inlineStr">
        <is>
          <t>Exit enterprise value</t>
        </is>
      </c>
      <c r="B32" s="14">
        <f>B30*B31</f>
        <v/>
      </c>
    </row>
    <row r="33">
      <c r="A33" s="7" t="inlineStr">
        <is>
          <t>Plus year 5 cash</t>
        </is>
      </c>
      <c r="B33" s="14">
        <f>F23</f>
        <v/>
      </c>
    </row>
    <row r="34">
      <c r="A34" s="7" t="inlineStr">
        <is>
          <t>Less year 5 debt</t>
        </is>
      </c>
      <c r="B34" s="14">
        <f>-F12</f>
        <v/>
      </c>
    </row>
    <row r="35">
      <c r="A35" s="7" t="inlineStr">
        <is>
          <t>Exit equity value</t>
        </is>
      </c>
      <c r="B35" s="17">
        <f>B32+B33+B34</f>
        <v/>
      </c>
    </row>
    <row r="36">
      <c r="A36" s="7" t="inlineStr">
        <is>
          <t>Equity investor ownership</t>
        </is>
      </c>
      <c r="B36" s="16">
        <f>'Capital Structures'!D18</f>
        <v/>
      </c>
    </row>
    <row r="37">
      <c r="A37" s="7" t="inlineStr">
        <is>
          <t>Equity invested</t>
        </is>
      </c>
      <c r="B37" s="14">
        <f>Assumptions!$B$45</f>
        <v/>
      </c>
    </row>
    <row r="38">
      <c r="A38" s="7" t="inlineStr">
        <is>
          <t>Equity investor proceeds at exit</t>
        </is>
      </c>
      <c r="B38" s="14">
        <f>B35*B36</f>
        <v/>
      </c>
    </row>
    <row r="39">
      <c r="A39" s="7" t="inlineStr">
        <is>
          <t>Equity investor MOIC</t>
        </is>
      </c>
      <c r="B39" s="25">
        <f>IF(B37=0,"n/a",B38/B37)</f>
        <v/>
      </c>
    </row>
    <row r="40">
      <c r="A40" s="7" t="inlineStr">
        <is>
          <t>Equity investor IRR</t>
        </is>
      </c>
      <c r="B40" s="24">
        <f>IF(B37=0,"n/a",(B38/B37)^(1/5)-1)</f>
        <v/>
      </c>
    </row>
    <row r="42">
      <c r="A42" s="3" t="inlineStr">
        <is>
          <t>Debt investor return</t>
        </is>
      </c>
    </row>
    <row r="43">
      <c r="A43" s="7" t="inlineStr">
        <is>
          <t>Principal advanced</t>
        </is>
      </c>
      <c r="B43" s="14">
        <f>Assumptions!$B$46</f>
        <v/>
      </c>
    </row>
    <row r="44">
      <c r="A44" s="7" t="inlineStr">
        <is>
          <t>Less original issue discount</t>
        </is>
      </c>
      <c r="B44" s="14">
        <f>-Assumptions!$B$46*Assumptions!$B$49</f>
        <v/>
      </c>
    </row>
    <row r="45">
      <c r="A45" s="7" t="inlineStr">
        <is>
          <t>Net outlay at close</t>
        </is>
      </c>
      <c r="B45" s="17">
        <f>B43+B44</f>
        <v/>
      </c>
    </row>
    <row r="46">
      <c r="A46" s="7" t="inlineStr">
        <is>
          <t>Total cash interest received</t>
        </is>
      </c>
      <c r="B46" s="14">
        <f>SUM(B8:F8)</f>
        <v/>
      </c>
    </row>
    <row r="47">
      <c r="A47" s="7" t="inlineStr">
        <is>
          <t>Total amortisation received</t>
        </is>
      </c>
      <c r="B47" s="14">
        <f>SUM(B10:F10)</f>
        <v/>
      </c>
    </row>
    <row r="48">
      <c r="A48" s="7" t="inlineStr">
        <is>
          <t>Balance repaid at maturity</t>
        </is>
      </c>
      <c r="B48" s="14">
        <f>F12</f>
        <v/>
      </c>
    </row>
    <row r="49">
      <c r="A49" s="7" t="inlineStr">
        <is>
          <t>Total received</t>
        </is>
      </c>
      <c r="B49" s="17">
        <f>B46+B47+B48</f>
        <v/>
      </c>
    </row>
    <row r="50">
      <c r="A50" s="7" t="inlineStr">
        <is>
          <t>Debt investor MOIC</t>
        </is>
      </c>
      <c r="B50" s="25">
        <f>B49/B45</f>
        <v/>
      </c>
    </row>
    <row r="51">
      <c r="A51" s="7" t="inlineStr">
        <is>
          <t>Refinancing risk at maturity</t>
        </is>
      </c>
      <c r="B51" s="15">
        <f>IF(F12&gt;0,"Yes, balance of "&amp;TEXT(F12,"0.0")&amp;"m outstanding at maturity","No")</f>
        <v/>
      </c>
    </row>
    <row r="53">
      <c r="A53" s="13" t="inlineStr">
        <is>
          <t>All figures are hypothetical and illustrative.</t>
        </is>
      </c>
    </row>
  </sheetData>
  <mergeCells count="3">
    <mergeCell ref="A3:F3"/>
    <mergeCell ref="A2:F2"/>
    <mergeCell ref="A1:F1"/>
  </mergeCells>
  <conditionalFormatting sqref="B14:F15">
    <cfRule type="cellIs" priority="1" operator="lessThan" dxfId="0">
      <formula>1</formula>
    </cfRule>
  </conditionalFormatting>
  <conditionalFormatting sqref="B23:F23">
    <cfRule type="cellIs" priority="2" operator="lessThan" dxfId="2">
      <formula>Assumptions!$B$30</formula>
    </cfRule>
  </conditionalFormatting>
  <conditionalFormatting sqref="B26:F26">
    <cfRule type="cellIs" priority="3" operator="equal" dxfId="2">
      <formula>"BREACH"</formula>
    </cfRule>
  </conditionalFormatting>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F3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ht="22" customHeight="1">
      <c r="A1" s="1" t="inlineStr">
        <is>
          <t>Debt Schedule</t>
        </is>
      </c>
    </row>
    <row r="2">
      <c r="A2" s="2" t="inlineStr">
        <is>
          <t>Both debt structures side by side, drawn from the case sheets. Terms are editable on the Assumptions sheet.</t>
        </is>
      </c>
    </row>
    <row r="3">
      <c r="A3" s="5" t="inlineStr">
        <is>
          <t>All figures are hypothetical and illustrative.</t>
        </is>
      </c>
    </row>
    <row r="5">
      <c r="A5" s="3" t="inlineStr">
        <is>
          <t>Private credit: USD 20 million facility</t>
        </is>
      </c>
      <c r="B5" s="6" t="n"/>
      <c r="C5" s="6" t="n"/>
      <c r="D5" s="6" t="n"/>
      <c r="E5" s="6" t="n"/>
      <c r="F5" s="6" t="n"/>
    </row>
    <row r="6">
      <c r="A6" s="12" t="inlineStr">
        <is>
          <t>Line item (USD millions)</t>
        </is>
      </c>
      <c r="B6" s="12" t="inlineStr">
        <is>
          <t>Year 1</t>
        </is>
      </c>
      <c r="C6" s="12" t="inlineStr">
        <is>
          <t>Year 2</t>
        </is>
      </c>
      <c r="D6" s="12" t="inlineStr">
        <is>
          <t>Year 3</t>
        </is>
      </c>
      <c r="E6" s="12" t="inlineStr">
        <is>
          <t>Year 4</t>
        </is>
      </c>
      <c r="F6" s="12" t="inlineStr">
        <is>
          <t>Year 5</t>
        </is>
      </c>
    </row>
    <row r="7">
      <c r="A7" s="7" t="inlineStr">
        <is>
          <t>Opening balance</t>
        </is>
      </c>
      <c r="B7" s="14">
        <f>'Private Credit Case'!B7</f>
        <v/>
      </c>
      <c r="C7" s="14">
        <f>'Private Credit Case'!C7</f>
        <v/>
      </c>
      <c r="D7" s="14">
        <f>'Private Credit Case'!D7</f>
        <v/>
      </c>
      <c r="E7" s="14">
        <f>'Private Credit Case'!E7</f>
        <v/>
      </c>
      <c r="F7" s="14">
        <f>'Private Credit Case'!F7</f>
        <v/>
      </c>
    </row>
    <row r="8">
      <c r="A8" s="7" t="inlineStr">
        <is>
          <t>Cash interest</t>
        </is>
      </c>
      <c r="B8" s="14">
        <f>'Private Credit Case'!B8</f>
        <v/>
      </c>
      <c r="C8" s="14">
        <f>'Private Credit Case'!C8</f>
        <v/>
      </c>
      <c r="D8" s="14">
        <f>'Private Credit Case'!D8</f>
        <v/>
      </c>
      <c r="E8" s="14">
        <f>'Private Credit Case'!E8</f>
        <v/>
      </c>
      <c r="F8" s="14">
        <f>'Private Credit Case'!F8</f>
        <v/>
      </c>
    </row>
    <row r="9">
      <c r="A9" s="7" t="inlineStr">
        <is>
          <t>PIK interest</t>
        </is>
      </c>
      <c r="B9" s="14">
        <f>'Private Credit Case'!B9</f>
        <v/>
      </c>
      <c r="C9" s="14">
        <f>'Private Credit Case'!C9</f>
        <v/>
      </c>
      <c r="D9" s="14">
        <f>'Private Credit Case'!D9</f>
        <v/>
      </c>
      <c r="E9" s="14">
        <f>'Private Credit Case'!E9</f>
        <v/>
      </c>
      <c r="F9" s="14">
        <f>'Private Credit Case'!F9</f>
        <v/>
      </c>
    </row>
    <row r="10">
      <c r="A10" s="7" t="inlineStr">
        <is>
          <t>Amortisation</t>
        </is>
      </c>
      <c r="B10" s="14">
        <f>'Private Credit Case'!B10</f>
        <v/>
      </c>
      <c r="C10" s="14">
        <f>'Private Credit Case'!C10</f>
        <v/>
      </c>
      <c r="D10" s="14">
        <f>'Private Credit Case'!D10</f>
        <v/>
      </c>
      <c r="E10" s="14">
        <f>'Private Credit Case'!E10</f>
        <v/>
      </c>
      <c r="F10" s="14">
        <f>'Private Credit Case'!F10</f>
        <v/>
      </c>
    </row>
    <row r="11">
      <c r="A11" s="7" t="inlineStr">
        <is>
          <t>Debt service</t>
        </is>
      </c>
      <c r="B11" s="17">
        <f>'Private Credit Case'!B11</f>
        <v/>
      </c>
      <c r="C11" s="17">
        <f>'Private Credit Case'!C11</f>
        <v/>
      </c>
      <c r="D11" s="17">
        <f>'Private Credit Case'!D11</f>
        <v/>
      </c>
      <c r="E11" s="17">
        <f>'Private Credit Case'!E11</f>
        <v/>
      </c>
      <c r="F11" s="17">
        <f>'Private Credit Case'!F11</f>
        <v/>
      </c>
    </row>
    <row r="12">
      <c r="A12" s="7" t="inlineStr">
        <is>
          <t>Closing balance</t>
        </is>
      </c>
      <c r="B12" s="17">
        <f>'Private Credit Case'!B12</f>
        <v/>
      </c>
      <c r="C12" s="17">
        <f>'Private Credit Case'!C12</f>
        <v/>
      </c>
      <c r="D12" s="17">
        <f>'Private Credit Case'!D12</f>
        <v/>
      </c>
      <c r="E12" s="17">
        <f>'Private Credit Case'!E12</f>
        <v/>
      </c>
      <c r="F12" s="17">
        <f>'Private Credit Case'!F12</f>
        <v/>
      </c>
    </row>
    <row r="13">
      <c r="A13" s="7" t="inlineStr">
        <is>
          <t>Debt to ending ARR</t>
        </is>
      </c>
      <c r="B13" s="22">
        <f>'Private Credit Case'!B13</f>
        <v/>
      </c>
      <c r="C13" s="22">
        <f>'Private Credit Case'!C13</f>
        <v/>
      </c>
      <c r="D13" s="22">
        <f>'Private Credit Case'!D13</f>
        <v/>
      </c>
      <c r="E13" s="22">
        <f>'Private Credit Case'!E13</f>
        <v/>
      </c>
      <c r="F13" s="22">
        <f>'Private Credit Case'!F13</f>
        <v/>
      </c>
    </row>
    <row r="14">
      <c r="A14" s="7" t="inlineStr">
        <is>
          <t>Interest coverage</t>
        </is>
      </c>
      <c r="B14" s="22">
        <f>'Private Credit Case'!B14</f>
        <v/>
      </c>
      <c r="C14" s="22">
        <f>'Private Credit Case'!C14</f>
        <v/>
      </c>
      <c r="D14" s="22">
        <f>'Private Credit Case'!D14</f>
        <v/>
      </c>
      <c r="E14" s="22">
        <f>'Private Credit Case'!E14</f>
        <v/>
      </c>
      <c r="F14" s="22">
        <f>'Private Credit Case'!F14</f>
        <v/>
      </c>
    </row>
    <row r="15">
      <c r="A15" s="7" t="inlineStr">
        <is>
          <t>Debt service coverage ratio</t>
        </is>
      </c>
      <c r="B15" s="22">
        <f>'Private Credit Case'!B15</f>
        <v/>
      </c>
      <c r="C15" s="22">
        <f>'Private Credit Case'!C15</f>
        <v/>
      </c>
      <c r="D15" s="22">
        <f>'Private Credit Case'!D15</f>
        <v/>
      </c>
      <c r="E15" s="22">
        <f>'Private Credit Case'!E15</f>
        <v/>
      </c>
      <c r="F15" s="22">
        <f>'Private Credit Case'!F15</f>
        <v/>
      </c>
    </row>
    <row r="17">
      <c r="A17" s="3" t="inlineStr">
        <is>
          <t>Blended capital: USD 12 million facility</t>
        </is>
      </c>
      <c r="B17" s="6" t="n"/>
      <c r="C17" s="6" t="n"/>
      <c r="D17" s="6" t="n"/>
      <c r="E17" s="6" t="n"/>
      <c r="F17" s="6" t="n"/>
    </row>
    <row r="18">
      <c r="A18" s="12" t="inlineStr">
        <is>
          <t>Line item (USD millions)</t>
        </is>
      </c>
      <c r="B18" s="12" t="inlineStr">
        <is>
          <t>Year 1</t>
        </is>
      </c>
      <c r="C18" s="12" t="inlineStr">
        <is>
          <t>Year 2</t>
        </is>
      </c>
      <c r="D18" s="12" t="inlineStr">
        <is>
          <t>Year 3</t>
        </is>
      </c>
      <c r="E18" s="12" t="inlineStr">
        <is>
          <t>Year 4</t>
        </is>
      </c>
      <c r="F18" s="12" t="inlineStr">
        <is>
          <t>Year 5</t>
        </is>
      </c>
    </row>
    <row r="19">
      <c r="A19" s="7" t="inlineStr">
        <is>
          <t>Opening balance</t>
        </is>
      </c>
      <c r="B19" s="14">
        <f>'Blended Capital Case'!B7</f>
        <v/>
      </c>
      <c r="C19" s="14">
        <f>'Blended Capital Case'!C7</f>
        <v/>
      </c>
      <c r="D19" s="14">
        <f>'Blended Capital Case'!D7</f>
        <v/>
      </c>
      <c r="E19" s="14">
        <f>'Blended Capital Case'!E7</f>
        <v/>
      </c>
      <c r="F19" s="14">
        <f>'Blended Capital Case'!F7</f>
        <v/>
      </c>
    </row>
    <row r="20">
      <c r="A20" s="7" t="inlineStr">
        <is>
          <t>Cash interest</t>
        </is>
      </c>
      <c r="B20" s="14">
        <f>'Blended Capital Case'!B8</f>
        <v/>
      </c>
      <c r="C20" s="14">
        <f>'Blended Capital Case'!C8</f>
        <v/>
      </c>
      <c r="D20" s="14">
        <f>'Blended Capital Case'!D8</f>
        <v/>
      </c>
      <c r="E20" s="14">
        <f>'Blended Capital Case'!E8</f>
        <v/>
      </c>
      <c r="F20" s="14">
        <f>'Blended Capital Case'!F8</f>
        <v/>
      </c>
    </row>
    <row r="21">
      <c r="A21" s="7" t="inlineStr">
        <is>
          <t>PIK interest</t>
        </is>
      </c>
      <c r="B21" s="14">
        <f>'Blended Capital Case'!B9</f>
        <v/>
      </c>
      <c r="C21" s="14">
        <f>'Blended Capital Case'!C9</f>
        <v/>
      </c>
      <c r="D21" s="14">
        <f>'Blended Capital Case'!D9</f>
        <v/>
      </c>
      <c r="E21" s="14">
        <f>'Blended Capital Case'!E9</f>
        <v/>
      </c>
      <c r="F21" s="14">
        <f>'Blended Capital Case'!F9</f>
        <v/>
      </c>
    </row>
    <row r="22">
      <c r="A22" s="7" t="inlineStr">
        <is>
          <t>Amortisation</t>
        </is>
      </c>
      <c r="B22" s="14">
        <f>'Blended Capital Case'!B10</f>
        <v/>
      </c>
      <c r="C22" s="14">
        <f>'Blended Capital Case'!C10</f>
        <v/>
      </c>
      <c r="D22" s="14">
        <f>'Blended Capital Case'!D10</f>
        <v/>
      </c>
      <c r="E22" s="14">
        <f>'Blended Capital Case'!E10</f>
        <v/>
      </c>
      <c r="F22" s="14">
        <f>'Blended Capital Case'!F10</f>
        <v/>
      </c>
    </row>
    <row r="23">
      <c r="A23" s="7" t="inlineStr">
        <is>
          <t>Debt service</t>
        </is>
      </c>
      <c r="B23" s="17">
        <f>'Blended Capital Case'!B11</f>
        <v/>
      </c>
      <c r="C23" s="17">
        <f>'Blended Capital Case'!C11</f>
        <v/>
      </c>
      <c r="D23" s="17">
        <f>'Blended Capital Case'!D11</f>
        <v/>
      </c>
      <c r="E23" s="17">
        <f>'Blended Capital Case'!E11</f>
        <v/>
      </c>
      <c r="F23" s="17">
        <f>'Blended Capital Case'!F11</f>
        <v/>
      </c>
    </row>
    <row r="24">
      <c r="A24" s="7" t="inlineStr">
        <is>
          <t>Closing balance</t>
        </is>
      </c>
      <c r="B24" s="17">
        <f>'Blended Capital Case'!B12</f>
        <v/>
      </c>
      <c r="C24" s="17">
        <f>'Blended Capital Case'!C12</f>
        <v/>
      </c>
      <c r="D24" s="17">
        <f>'Blended Capital Case'!D12</f>
        <v/>
      </c>
      <c r="E24" s="17">
        <f>'Blended Capital Case'!E12</f>
        <v/>
      </c>
      <c r="F24" s="17">
        <f>'Blended Capital Case'!F12</f>
        <v/>
      </c>
    </row>
    <row r="25">
      <c r="A25" s="7" t="inlineStr">
        <is>
          <t>Debt to ending ARR</t>
        </is>
      </c>
      <c r="B25" s="22">
        <f>'Blended Capital Case'!B13</f>
        <v/>
      </c>
      <c r="C25" s="22">
        <f>'Blended Capital Case'!C13</f>
        <v/>
      </c>
      <c r="D25" s="22">
        <f>'Blended Capital Case'!D13</f>
        <v/>
      </c>
      <c r="E25" s="22">
        <f>'Blended Capital Case'!E13</f>
        <v/>
      </c>
      <c r="F25" s="22">
        <f>'Blended Capital Case'!F13</f>
        <v/>
      </c>
    </row>
    <row r="26">
      <c r="A26" s="7" t="inlineStr">
        <is>
          <t>Interest coverage</t>
        </is>
      </c>
      <c r="B26" s="22">
        <f>'Blended Capital Case'!B14</f>
        <v/>
      </c>
      <c r="C26" s="22">
        <f>'Blended Capital Case'!C14</f>
        <v/>
      </c>
      <c r="D26" s="22">
        <f>'Blended Capital Case'!D14</f>
        <v/>
      </c>
      <c r="E26" s="22">
        <f>'Blended Capital Case'!E14</f>
        <v/>
      </c>
      <c r="F26" s="22">
        <f>'Blended Capital Case'!F14</f>
        <v/>
      </c>
    </row>
    <row r="27">
      <c r="A27" s="7" t="inlineStr">
        <is>
          <t>Debt service coverage ratio</t>
        </is>
      </c>
      <c r="B27" s="22">
        <f>'Blended Capital Case'!B15</f>
        <v/>
      </c>
      <c r="C27" s="22">
        <f>'Blended Capital Case'!C15</f>
        <v/>
      </c>
      <c r="D27" s="22">
        <f>'Blended Capital Case'!D15</f>
        <v/>
      </c>
      <c r="E27" s="22">
        <f>'Blended Capital Case'!E15</f>
        <v/>
      </c>
      <c r="F27" s="22">
        <f>'Blended Capital Case'!F15</f>
        <v/>
      </c>
    </row>
    <row r="29" ht="50" customHeight="1">
      <c r="A29" s="13" t="inlineStr">
        <is>
          <t>Interest coverage is EBITDA divided by cash interest and is negative for as long as EBITDA is negative. Debt service coverage is EBITDA less capital expenditure over total debt service. Neither ratio reaches 1.0x on the USD 20 million facility inside the forecast period, which is the arithmetic reason the all debt structure is rejected.</t>
        </is>
      </c>
    </row>
    <row r="31">
      <c r="A31" s="13" t="inlineStr">
        <is>
          <t>All figures are hypothetical and illustrative.</t>
        </is>
      </c>
    </row>
  </sheetData>
  <mergeCells count="6">
    <mergeCell ref="A2:F2"/>
    <mergeCell ref="A1:F1"/>
    <mergeCell ref="A5:F5"/>
    <mergeCell ref="A17:F17"/>
    <mergeCell ref="A3:F3"/>
    <mergeCell ref="A29:F2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4"/>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ht="22" customHeight="1">
      <c r="A1" s="1" t="inlineStr">
        <is>
          <t>Returns Analysis</t>
        </is>
      </c>
    </row>
    <row r="2">
      <c r="A2" s="2" t="inlineStr">
        <is>
          <t>Explicit cash flows and returns for equity and debt investors under each structure.</t>
        </is>
      </c>
    </row>
    <row r="3">
      <c r="A3" s="5" t="inlineStr">
        <is>
          <t>All figures are hypothetical and illustrative.</t>
        </is>
      </c>
    </row>
    <row r="5">
      <c r="A5" s="3" t="inlineStr">
        <is>
          <t>Equity investor cash flows (USD millions)</t>
        </is>
      </c>
      <c r="B5" s="6" t="n"/>
      <c r="C5" s="6" t="n"/>
      <c r="D5" s="6" t="n"/>
      <c r="E5" s="6" t="n"/>
      <c r="F5" s="6" t="n"/>
      <c r="G5" s="6" t="n"/>
    </row>
    <row r="6">
      <c r="A6" s="12" t="inlineStr">
        <is>
          <t>Structure</t>
        </is>
      </c>
      <c r="B6" s="12" t="inlineStr">
        <is>
          <t>Close</t>
        </is>
      </c>
      <c r="C6" s="12" t="inlineStr">
        <is>
          <t>Year 1</t>
        </is>
      </c>
      <c r="D6" s="12" t="inlineStr">
        <is>
          <t>Year 2</t>
        </is>
      </c>
      <c r="E6" s="12" t="inlineStr">
        <is>
          <t>Year 3</t>
        </is>
      </c>
      <c r="F6" s="12" t="inlineStr">
        <is>
          <t>Year 4</t>
        </is>
      </c>
      <c r="G6" s="12" t="inlineStr">
        <is>
          <t>Year 5</t>
        </is>
      </c>
    </row>
    <row r="7">
      <c r="A7" s="7" t="inlineStr">
        <is>
          <t>Growth equity</t>
        </is>
      </c>
      <c r="B7" s="14">
        <f>-'Growth Equity Case'!B25</f>
        <v/>
      </c>
      <c r="C7" s="14" t="n">
        <v>0</v>
      </c>
      <c r="D7" s="14" t="n">
        <v>0</v>
      </c>
      <c r="E7" s="14" t="n">
        <v>0</v>
      </c>
      <c r="F7" s="14" t="n">
        <v>0</v>
      </c>
      <c r="G7" s="17">
        <f>'Growth Equity Case'!B26</f>
        <v/>
      </c>
    </row>
    <row r="8">
      <c r="A8" s="7" t="inlineStr">
        <is>
          <t>Blended capital</t>
        </is>
      </c>
      <c r="B8" s="14">
        <f>-'Blended Capital Case'!B37</f>
        <v/>
      </c>
      <c r="C8" s="14" t="n">
        <v>0</v>
      </c>
      <c r="D8" s="14" t="n">
        <v>0</v>
      </c>
      <c r="E8" s="14" t="n">
        <v>0</v>
      </c>
      <c r="F8" s="14" t="n">
        <v>0</v>
      </c>
      <c r="G8" s="17">
        <f>'Blended Capital Case'!B38</f>
        <v/>
      </c>
    </row>
    <row r="10">
      <c r="A10" s="3" t="inlineStr">
        <is>
          <t>Equity investor returns</t>
        </is>
      </c>
      <c r="B10" s="6" t="n"/>
      <c r="C10" s="6" t="n"/>
      <c r="D10" s="6" t="n"/>
      <c r="E10" s="6" t="n"/>
      <c r="F10" s="6" t="n"/>
      <c r="G10" s="6" t="n"/>
    </row>
    <row r="11">
      <c r="A11" s="12" t="inlineStr">
        <is>
          <t>Metric</t>
        </is>
      </c>
      <c r="B11" s="12" t="inlineStr">
        <is>
          <t>Growth equity</t>
        </is>
      </c>
      <c r="C11" s="12" t="inlineStr">
        <is>
          <t>Private credit</t>
        </is>
      </c>
      <c r="D11" s="12" t="inlineStr">
        <is>
          <t>Blended capital</t>
        </is>
      </c>
    </row>
    <row r="12">
      <c r="A12" s="7" t="inlineStr">
        <is>
          <t>Equity invested</t>
        </is>
      </c>
      <c r="B12" s="14">
        <f>'Growth Equity Case'!B25</f>
        <v/>
      </c>
      <c r="C12" s="14">
        <f>0</f>
        <v/>
      </c>
      <c r="D12" s="14">
        <f>'Blended Capital Case'!B37</f>
        <v/>
      </c>
    </row>
    <row r="13">
      <c r="A13" s="7" t="inlineStr">
        <is>
          <t>Investor ownership</t>
        </is>
      </c>
      <c r="B13" s="16">
        <f>'Growth Equity Case'!B24</f>
        <v/>
      </c>
      <c r="C13" s="16">
        <f>0</f>
        <v/>
      </c>
      <c r="D13" s="16">
        <f>'Blended Capital Case'!B36</f>
        <v/>
      </c>
    </row>
    <row r="14">
      <c r="A14" s="7" t="inlineStr">
        <is>
          <t>Exit equity value</t>
        </is>
      </c>
      <c r="B14" s="14">
        <f>'Growth Equity Case'!B23</f>
        <v/>
      </c>
      <c r="C14" s="14">
        <f>'Private Credit Case'!B35</f>
        <v/>
      </c>
      <c r="D14" s="14">
        <f>'Blended Capital Case'!B35</f>
        <v/>
      </c>
    </row>
    <row r="15">
      <c r="A15" s="7" t="inlineStr">
        <is>
          <t>Equity investor proceeds</t>
        </is>
      </c>
      <c r="B15" s="14">
        <f>'Growth Equity Case'!B26</f>
        <v/>
      </c>
      <c r="C15" s="14">
        <f>0</f>
        <v/>
      </c>
      <c r="D15" s="14">
        <f>'Blended Capital Case'!B38</f>
        <v/>
      </c>
    </row>
    <row r="16">
      <c r="A16" s="7" t="inlineStr">
        <is>
          <t>MOIC</t>
        </is>
      </c>
      <c r="B16" s="25">
        <f>'Growth Equity Case'!B27</f>
        <v/>
      </c>
      <c r="C16" s="25">
        <f>"n/a"</f>
        <v/>
      </c>
      <c r="D16" s="25">
        <f>'Blended Capital Case'!B39</f>
        <v/>
      </c>
    </row>
    <row r="17">
      <c r="A17" s="7" t="inlineStr">
        <is>
          <t>IRR (5 year hold)</t>
        </is>
      </c>
      <c r="B17" s="24">
        <f>IRR(B7:G7)</f>
        <v/>
      </c>
      <c r="C17" s="24">
        <f>"n/a"</f>
        <v/>
      </c>
      <c r="D17" s="24">
        <f>IRR(B8:G8)</f>
        <v/>
      </c>
    </row>
    <row r="18">
      <c r="A18" s="7" t="inlineStr">
        <is>
          <t>Founder and existing holder dilution</t>
        </is>
      </c>
      <c r="B18" s="16">
        <f>'Capital Structures'!B19</f>
        <v/>
      </c>
      <c r="C18" s="16">
        <f>'Capital Structures'!C19</f>
        <v/>
      </c>
      <c r="D18" s="16">
        <f>'Capital Structures'!D19</f>
        <v/>
      </c>
    </row>
    <row r="20">
      <c r="A20" s="3" t="inlineStr">
        <is>
          <t>Debt investor returns</t>
        </is>
      </c>
      <c r="B20" s="6" t="n"/>
      <c r="C20" s="6" t="n"/>
      <c r="D20" s="6" t="n"/>
      <c r="E20" s="6" t="n"/>
      <c r="F20" s="6" t="n"/>
      <c r="G20" s="6" t="n"/>
    </row>
    <row r="21">
      <c r="A21" s="12" t="inlineStr">
        <is>
          <t>Metric</t>
        </is>
      </c>
      <c r="B21" s="12" t="inlineStr">
        <is>
          <t>Growth equity</t>
        </is>
      </c>
      <c r="C21" s="12" t="inlineStr">
        <is>
          <t>Private credit</t>
        </is>
      </c>
      <c r="D21" s="12" t="inlineStr">
        <is>
          <t>Blended capital</t>
        </is>
      </c>
    </row>
    <row r="22">
      <c r="A22" s="7" t="inlineStr">
        <is>
          <t>Net outlay at close</t>
        </is>
      </c>
      <c r="B22" s="14">
        <f>"n/a"</f>
        <v/>
      </c>
      <c r="C22" s="14">
        <f>'Private Credit Case'!B45</f>
        <v/>
      </c>
      <c r="D22" s="14">
        <f>'Blended Capital Case'!B45</f>
        <v/>
      </c>
    </row>
    <row r="23">
      <c r="A23" s="7" t="inlineStr">
        <is>
          <t>Total received over five years</t>
        </is>
      </c>
      <c r="B23" s="14">
        <f>"n/a"</f>
        <v/>
      </c>
      <c r="C23" s="14">
        <f>'Private Credit Case'!B49</f>
        <v/>
      </c>
      <c r="D23" s="14">
        <f>'Blended Capital Case'!B49</f>
        <v/>
      </c>
    </row>
    <row r="24">
      <c r="A24" s="7" t="inlineStr">
        <is>
          <t>Debt investor MOIC</t>
        </is>
      </c>
      <c r="B24" s="25">
        <f>"n/a"</f>
        <v/>
      </c>
      <c r="C24" s="25">
        <f>'Private Credit Case'!B50</f>
        <v/>
      </c>
      <c r="D24" s="25">
        <f>'Blended Capital Case'!B50</f>
        <v/>
      </c>
    </row>
    <row r="26">
      <c r="A26" s="3" t="inlineStr">
        <is>
          <t>Debt investor cash flows (USD millions)</t>
        </is>
      </c>
      <c r="B26" s="6" t="n"/>
      <c r="C26" s="6" t="n"/>
      <c r="D26" s="6" t="n"/>
      <c r="E26" s="6" t="n"/>
      <c r="F26" s="6" t="n"/>
      <c r="G26" s="6" t="n"/>
    </row>
    <row r="27">
      <c r="A27" s="12" t="inlineStr">
        <is>
          <t>Structure</t>
        </is>
      </c>
      <c r="B27" s="12" t="inlineStr">
        <is>
          <t>Close</t>
        </is>
      </c>
      <c r="C27" s="12" t="inlineStr">
        <is>
          <t>Year 1</t>
        </is>
      </c>
      <c r="D27" s="12" t="inlineStr">
        <is>
          <t>Year 2</t>
        </is>
      </c>
      <c r="E27" s="12" t="inlineStr">
        <is>
          <t>Year 3</t>
        </is>
      </c>
      <c r="F27" s="12" t="inlineStr">
        <is>
          <t>Year 4</t>
        </is>
      </c>
      <c r="G27" s="12" t="inlineStr">
        <is>
          <t>Year 5</t>
        </is>
      </c>
    </row>
    <row r="28">
      <c r="A28" s="7" t="inlineStr">
        <is>
          <t>Private credit</t>
        </is>
      </c>
      <c r="B28" s="14">
        <f>-'Private Credit Case'!B45</f>
        <v/>
      </c>
      <c r="C28" s="14">
        <f>'Private Credit Case'!B8+'Private Credit Case'!B10</f>
        <v/>
      </c>
      <c r="D28" s="14">
        <f>'Private Credit Case'!C8+'Private Credit Case'!C10</f>
        <v/>
      </c>
      <c r="E28" s="14">
        <f>'Private Credit Case'!D8+'Private Credit Case'!D10</f>
        <v/>
      </c>
      <c r="F28" s="14">
        <f>'Private Credit Case'!E8+'Private Credit Case'!E10</f>
        <v/>
      </c>
      <c r="G28" s="17">
        <f>'Private Credit Case'!F8+'Private Credit Case'!F10+'Private Credit Case'!F12</f>
        <v/>
      </c>
    </row>
    <row r="29">
      <c r="A29" s="7" t="inlineStr">
        <is>
          <t>Blended capital</t>
        </is>
      </c>
      <c r="B29" s="14">
        <f>-'Blended Capital Case'!B45</f>
        <v/>
      </c>
      <c r="C29" s="14">
        <f>'Blended Capital Case'!B8+'Blended Capital Case'!B10</f>
        <v/>
      </c>
      <c r="D29" s="14">
        <f>'Blended Capital Case'!C8+'Blended Capital Case'!C10</f>
        <v/>
      </c>
      <c r="E29" s="14">
        <f>'Blended Capital Case'!D8+'Blended Capital Case'!D10</f>
        <v/>
      </c>
      <c r="F29" s="14">
        <f>'Blended Capital Case'!E8+'Blended Capital Case'!E10</f>
        <v/>
      </c>
      <c r="G29" s="17">
        <f>'Blended Capital Case'!F8+'Blended Capital Case'!F10+'Blended Capital Case'!F12</f>
        <v/>
      </c>
    </row>
    <row r="30">
      <c r="A30" s="7" t="inlineStr">
        <is>
          <t>Debt investor IRR</t>
        </is>
      </c>
      <c r="B30" s="26">
        <f>"n/a"</f>
        <v/>
      </c>
      <c r="C30" s="24">
        <f>IRR(B28:G28)</f>
        <v/>
      </c>
      <c r="D30" s="24">
        <f>IRR(B29:G29)</f>
        <v/>
      </c>
    </row>
    <row r="32" ht="50" customHeight="1">
      <c r="A32" s="13" t="inlineStr">
        <is>
          <t>The equity investor MOIC is higher under the blended structure than under all equity, because a smaller cheque is exposed to the same enterprise value appreciation. That is the return argument for the blend. The dilution argument is stronger still, and the covenant argument is what makes the all debt structure unavailable.</t>
        </is>
      </c>
    </row>
    <row r="34">
      <c r="A34" s="13" t="inlineStr">
        <is>
          <t>All figures are hypothetical and illustrative.</t>
        </is>
      </c>
    </row>
  </sheetData>
  <mergeCells count="8">
    <mergeCell ref="A32:G32"/>
    <mergeCell ref="A1:G1"/>
    <mergeCell ref="A3:G3"/>
    <mergeCell ref="A20:G20"/>
    <mergeCell ref="A26:G26"/>
    <mergeCell ref="A2:G2"/>
    <mergeCell ref="A10:G10"/>
    <mergeCell ref="A5:G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5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ht="22" customHeight="1">
      <c r="A1" s="1" t="inlineStr">
        <is>
          <t>Sensitivities</t>
        </is>
      </c>
    </row>
    <row r="2">
      <c r="A2" s="2" t="inlineStr">
        <is>
          <t>Each table moves one driver and holds everything else constant, so the effect is attributable.</t>
        </is>
      </c>
    </row>
    <row r="3">
      <c r="A3" s="5" t="inlineStr">
        <is>
          <t>All figures are hypothetical and illustrative.</t>
        </is>
      </c>
    </row>
    <row r="5">
      <c r="A5" s="3" t="inlineStr">
        <is>
          <t>Exit multiple sensitivity, blended capital equity investor</t>
        </is>
      </c>
      <c r="B5" s="6" t="n"/>
      <c r="C5" s="6" t="n"/>
      <c r="D5" s="6" t="n"/>
      <c r="E5" s="6" t="n"/>
      <c r="F5" s="6" t="n"/>
      <c r="G5" s="6" t="n"/>
    </row>
    <row r="6" ht="26" customHeight="1">
      <c r="A6" s="13" t="inlineStr">
        <is>
          <t>Year five ARR and ending cash are held at the base case. Only the exit ARR multiple moves.</t>
        </is>
      </c>
    </row>
    <row r="7">
      <c r="A7" s="12" t="inlineStr">
        <is>
          <t>Exit ARR multiple</t>
        </is>
      </c>
      <c r="B7" s="12" t="inlineStr">
        <is>
          <t>Enterprise value</t>
        </is>
      </c>
      <c r="C7" s="12" t="inlineStr">
        <is>
          <t>Exit equity value</t>
        </is>
      </c>
      <c r="D7" s="12" t="inlineStr">
        <is>
          <t>Proceeds</t>
        </is>
      </c>
      <c r="E7" s="12" t="inlineStr">
        <is>
          <t>MOIC</t>
        </is>
      </c>
      <c r="F7" s="12" t="inlineStr">
        <is>
          <t>IRR</t>
        </is>
      </c>
    </row>
    <row r="8">
      <c r="A8" s="11" t="n">
        <v>5</v>
      </c>
      <c r="B8" s="14">
        <f>'Blended Capital Case'!B30*A8</f>
        <v/>
      </c>
      <c r="C8" s="14">
        <f>B8+'Blended Capital Case'!B33+'Blended Capital Case'!B34</f>
        <v/>
      </c>
      <c r="D8" s="14">
        <f>C8*'Blended Capital Case'!B36</f>
        <v/>
      </c>
      <c r="E8" s="25">
        <f>D8/'Blended Capital Case'!B37</f>
        <v/>
      </c>
      <c r="F8" s="24">
        <f>E8^(1/5)-1</f>
        <v/>
      </c>
    </row>
    <row r="9">
      <c r="A9" s="11" t="n">
        <v>6</v>
      </c>
      <c r="B9" s="14">
        <f>'Blended Capital Case'!B30*A9</f>
        <v/>
      </c>
      <c r="C9" s="14">
        <f>B9+'Blended Capital Case'!B33+'Blended Capital Case'!B34</f>
        <v/>
      </c>
      <c r="D9" s="14">
        <f>C9*'Blended Capital Case'!B36</f>
        <v/>
      </c>
      <c r="E9" s="25">
        <f>D9/'Blended Capital Case'!B37</f>
        <v/>
      </c>
      <c r="F9" s="24">
        <f>E9^(1/5)-1</f>
        <v/>
      </c>
    </row>
    <row r="10">
      <c r="A10" s="11" t="n">
        <v>7</v>
      </c>
      <c r="B10" s="14">
        <f>'Blended Capital Case'!B30*A10</f>
        <v/>
      </c>
      <c r="C10" s="14">
        <f>B10+'Blended Capital Case'!B33+'Blended Capital Case'!B34</f>
        <v/>
      </c>
      <c r="D10" s="14">
        <f>C10*'Blended Capital Case'!B36</f>
        <v/>
      </c>
      <c r="E10" s="25">
        <f>D10/'Blended Capital Case'!B37</f>
        <v/>
      </c>
      <c r="F10" s="24">
        <f>E10^(1/5)-1</f>
        <v/>
      </c>
    </row>
    <row r="11">
      <c r="A11" s="11" t="n">
        <v>8</v>
      </c>
      <c r="B11" s="14">
        <f>'Blended Capital Case'!B30*A11</f>
        <v/>
      </c>
      <c r="C11" s="14">
        <f>B11+'Blended Capital Case'!B33+'Blended Capital Case'!B34</f>
        <v/>
      </c>
      <c r="D11" s="14">
        <f>C11*'Blended Capital Case'!B36</f>
        <v/>
      </c>
      <c r="E11" s="25">
        <f>D11/'Blended Capital Case'!B37</f>
        <v/>
      </c>
      <c r="F11" s="24">
        <f>E11^(1/5)-1</f>
        <v/>
      </c>
    </row>
    <row r="12">
      <c r="A12" s="11" t="n">
        <v>9</v>
      </c>
      <c r="B12" s="14">
        <f>'Blended Capital Case'!B30*A12</f>
        <v/>
      </c>
      <c r="C12" s="14">
        <f>B12+'Blended Capital Case'!B33+'Blended Capital Case'!B34</f>
        <v/>
      </c>
      <c r="D12" s="14">
        <f>C12*'Blended Capital Case'!B36</f>
        <v/>
      </c>
      <c r="E12" s="25">
        <f>D12/'Blended Capital Case'!B37</f>
        <v/>
      </c>
      <c r="F12" s="24">
        <f>E12^(1/5)-1</f>
        <v/>
      </c>
    </row>
    <row r="14">
      <c r="A14" s="3" t="inlineStr">
        <is>
          <t>ARR growth sensitivity</t>
        </is>
      </c>
      <c r="B14" s="6" t="n"/>
      <c r="C14" s="6" t="n"/>
      <c r="D14" s="6" t="n"/>
      <c r="E14" s="6" t="n"/>
      <c r="F14" s="6" t="n"/>
      <c r="G14" s="6" t="n"/>
    </row>
    <row r="15" ht="26" customHeight="1">
      <c r="A15" s="13" t="inlineStr">
        <is>
          <t>Year one growth varies. The same annual decay applies in later years.</t>
        </is>
      </c>
    </row>
    <row r="16">
      <c r="A16" s="12" t="inlineStr">
        <is>
          <t>Year 1 ARR growth</t>
        </is>
      </c>
      <c r="B16" s="12" t="inlineStr">
        <is>
          <t>Year 5 ending ARR</t>
        </is>
      </c>
      <c r="C16" s="12" t="inlineStr">
        <is>
          <t>Exit enterprise value at base multiple</t>
        </is>
      </c>
    </row>
    <row r="17">
      <c r="A17" s="9" t="n">
        <v>0.2</v>
      </c>
      <c r="B17" s="14">
        <f>Assumptions!$B$6*(1+MAX(0,A17-Assumptions!$B$8*0))*(1+MAX(0,A17-Assumptions!$B$8*1))*(1+MAX(0,A17-Assumptions!$B$8*2))*(1+MAX(0,A17-Assumptions!$B$8*3))*(1+MAX(0,A17-Assumptions!$B$8*4))</f>
        <v/>
      </c>
      <c r="C17" s="17">
        <f>B17*Assumptions!$B$29</f>
        <v/>
      </c>
    </row>
    <row r="18">
      <c r="A18" s="9" t="n">
        <v>0.25</v>
      </c>
      <c r="B18" s="14">
        <f>Assumptions!$B$6*(1+MAX(0,A18-Assumptions!$B$8*0))*(1+MAX(0,A18-Assumptions!$B$8*1))*(1+MAX(0,A18-Assumptions!$B$8*2))*(1+MAX(0,A18-Assumptions!$B$8*3))*(1+MAX(0,A18-Assumptions!$B$8*4))</f>
        <v/>
      </c>
      <c r="C18" s="17">
        <f>B18*Assumptions!$B$29</f>
        <v/>
      </c>
    </row>
    <row r="19">
      <c r="A19" s="9" t="n">
        <v>0.3</v>
      </c>
      <c r="B19" s="14">
        <f>Assumptions!$B$6*(1+MAX(0,A19-Assumptions!$B$8*0))*(1+MAX(0,A19-Assumptions!$B$8*1))*(1+MAX(0,A19-Assumptions!$B$8*2))*(1+MAX(0,A19-Assumptions!$B$8*3))*(1+MAX(0,A19-Assumptions!$B$8*4))</f>
        <v/>
      </c>
      <c r="C19" s="17">
        <f>B19*Assumptions!$B$29</f>
        <v/>
      </c>
    </row>
    <row r="20">
      <c r="A20" s="9" t="n">
        <v>0.35</v>
      </c>
      <c r="B20" s="14">
        <f>Assumptions!$B$6*(1+MAX(0,A20-Assumptions!$B$8*0))*(1+MAX(0,A20-Assumptions!$B$8*1))*(1+MAX(0,A20-Assumptions!$B$8*2))*(1+MAX(0,A20-Assumptions!$B$8*3))*(1+MAX(0,A20-Assumptions!$B$8*4))</f>
        <v/>
      </c>
      <c r="C20" s="17">
        <f>B20*Assumptions!$B$29</f>
        <v/>
      </c>
    </row>
    <row r="21">
      <c r="A21" s="9" t="n">
        <v>0.4</v>
      </c>
      <c r="B21" s="14">
        <f>Assumptions!$B$6*(1+MAX(0,A21-Assumptions!$B$8*0))*(1+MAX(0,A21-Assumptions!$B$8*1))*(1+MAX(0,A21-Assumptions!$B$8*2))*(1+MAX(0,A21-Assumptions!$B$8*3))*(1+MAX(0,A21-Assumptions!$B$8*4))</f>
        <v/>
      </c>
      <c r="C21" s="17">
        <f>B21*Assumptions!$B$29</f>
        <v/>
      </c>
    </row>
    <row r="23">
      <c r="A23" s="3" t="inlineStr">
        <is>
          <t>Retention sensitivity</t>
        </is>
      </c>
      <c r="B23" s="6" t="n"/>
      <c r="C23" s="6" t="n"/>
      <c r="D23" s="6" t="n"/>
      <c r="E23" s="6" t="n"/>
      <c r="F23" s="6" t="n"/>
      <c r="G23" s="6" t="n"/>
    </row>
    <row r="24" ht="26" customHeight="1">
      <c r="A24" s="13" t="inlineStr">
        <is>
          <t>Net revenue retention varies while the ARR growth target is held fixed, so lower retention simply raises the New ARR the sales team must win.</t>
        </is>
      </c>
    </row>
    <row r="25">
      <c r="A25" s="12" t="inlineStr">
        <is>
          <t>Net revenue retention</t>
        </is>
      </c>
      <c r="B25" s="12" t="inlineStr">
        <is>
          <t>Year 1 New ARR required</t>
        </is>
      </c>
      <c r="C25" s="12" t="inlineStr">
        <is>
          <t>Increase over base case</t>
        </is>
      </c>
      <c r="D25" s="12" t="inlineStr">
        <is>
          <t>Implied year 1 CAC payback (months)</t>
        </is>
      </c>
    </row>
    <row r="26">
      <c r="A26" s="9" t="n">
        <v>1</v>
      </c>
      <c r="B26" s="14">
        <f>Assumptions!$B$6*(1+'Operating Forecast'!B8)-Assumptions!$B$6*A26</f>
        <v/>
      </c>
      <c r="C26" s="14">
        <f>B26-'Operating Forecast'!B9</f>
        <v/>
      </c>
      <c r="D26" s="27">
        <f>-'Operating Forecast'!B18/((B26+Assumptions!$B$6*(A26-Assumptions!$B$10))*Assumptions!$B$11)*12</f>
        <v/>
      </c>
    </row>
    <row r="27">
      <c r="A27" s="9" t="n">
        <v>1.05</v>
      </c>
      <c r="B27" s="14">
        <f>Assumptions!$B$6*(1+'Operating Forecast'!B8)-Assumptions!$B$6*A27</f>
        <v/>
      </c>
      <c r="C27" s="14">
        <f>B27-'Operating Forecast'!B9</f>
        <v/>
      </c>
      <c r="D27" s="27">
        <f>-'Operating Forecast'!B18/((B27+Assumptions!$B$6*(A27-Assumptions!$B$10))*Assumptions!$B$11)*12</f>
        <v/>
      </c>
    </row>
    <row r="28">
      <c r="A28" s="9" t="n">
        <v>1.1</v>
      </c>
      <c r="B28" s="14">
        <f>Assumptions!$B$6*(1+'Operating Forecast'!B8)-Assumptions!$B$6*A28</f>
        <v/>
      </c>
      <c r="C28" s="14">
        <f>B28-'Operating Forecast'!B9</f>
        <v/>
      </c>
      <c r="D28" s="27">
        <f>-'Operating Forecast'!B18/((B28+Assumptions!$B$6*(A28-Assumptions!$B$10))*Assumptions!$B$11)*12</f>
        <v/>
      </c>
    </row>
    <row r="29">
      <c r="A29" s="9" t="n">
        <v>1.15</v>
      </c>
      <c r="B29" s="14">
        <f>Assumptions!$B$6*(1+'Operating Forecast'!B8)-Assumptions!$B$6*A29</f>
        <v/>
      </c>
      <c r="C29" s="14">
        <f>B29-'Operating Forecast'!B9</f>
        <v/>
      </c>
      <c r="D29" s="27">
        <f>-'Operating Forecast'!B18/((B29+Assumptions!$B$6*(A29-Assumptions!$B$10))*Assumptions!$B$11)*12</f>
        <v/>
      </c>
    </row>
    <row r="30">
      <c r="A30" s="9" t="n">
        <v>1.2</v>
      </c>
      <c r="B30" s="14">
        <f>Assumptions!$B$6*(1+'Operating Forecast'!B8)-Assumptions!$B$6*A30</f>
        <v/>
      </c>
      <c r="C30" s="14">
        <f>B30-'Operating Forecast'!B9</f>
        <v/>
      </c>
      <c r="D30" s="27">
        <f>-'Operating Forecast'!B18/((B30+Assumptions!$B$6*(A30-Assumptions!$B$10))*Assumptions!$B$11)*12</f>
        <v/>
      </c>
    </row>
    <row r="32">
      <c r="A32" s="3" t="inlineStr">
        <is>
          <t>Interest rate sensitivity, blended capital facility</t>
        </is>
      </c>
      <c r="B32" s="6" t="n"/>
      <c r="C32" s="6" t="n"/>
      <c r="D32" s="6" t="n"/>
      <c r="E32" s="6" t="n"/>
      <c r="F32" s="6" t="n"/>
      <c r="G32" s="6" t="n"/>
    </row>
    <row r="33" ht="26" customHeight="1">
      <c r="A33" s="13" t="inlineStr">
        <is>
          <t>Applied to the blended facility principal. Shows where the minimum cash covenant starts to bind.</t>
        </is>
      </c>
    </row>
    <row r="34">
      <c r="A34" s="12" t="inlineStr">
        <is>
          <t>Cash interest rate</t>
        </is>
      </c>
      <c r="B34" s="12" t="inlineStr">
        <is>
          <t>Year 1 cash interest</t>
        </is>
      </c>
      <c r="C34" s="12" t="inlineStr">
        <is>
          <t>Five year cash interest</t>
        </is>
      </c>
      <c r="D34" s="12" t="inlineStr">
        <is>
          <t>Year 5 closing cash</t>
        </is>
      </c>
      <c r="E34" s="12" t="inlineStr">
        <is>
          <t>Covenant status</t>
        </is>
      </c>
    </row>
    <row r="35">
      <c r="A35" s="9" t="n">
        <v>0.09</v>
      </c>
      <c r="B35" s="14">
        <f>Assumptions!$B$46*A35</f>
        <v/>
      </c>
      <c r="C35" s="14">
        <f>Assumptions!$B$46*A35*Assumptions!$B$51+(Assumptions!$B$46*A35+(Assumptions!$B$46-Assumptions!$B$46*Assumptions!$B$52)*A35)</f>
        <v/>
      </c>
      <c r="D35" s="17">
        <f>'Blended Capital Case'!F23+(SUM('Blended Capital Case'!B8:F8)-C35)</f>
        <v/>
      </c>
      <c r="E35" s="15">
        <f>IF(D35&lt;Assumptions!$B$30,"BREACH","Headroom")</f>
        <v/>
      </c>
    </row>
    <row r="36">
      <c r="A36" s="9" t="n">
        <v>0.1</v>
      </c>
      <c r="B36" s="14">
        <f>Assumptions!$B$46*A36</f>
        <v/>
      </c>
      <c r="C36" s="14">
        <f>Assumptions!$B$46*A36*Assumptions!$B$51+(Assumptions!$B$46*A36+(Assumptions!$B$46-Assumptions!$B$46*Assumptions!$B$52)*A36)</f>
        <v/>
      </c>
      <c r="D36" s="17">
        <f>'Blended Capital Case'!F23+(SUM('Blended Capital Case'!B8:F8)-C36)</f>
        <v/>
      </c>
      <c r="E36" s="15">
        <f>IF(D36&lt;Assumptions!$B$30,"BREACH","Headroom")</f>
        <v/>
      </c>
    </row>
    <row r="37">
      <c r="A37" s="9" t="n">
        <v>0.11</v>
      </c>
      <c r="B37" s="14">
        <f>Assumptions!$B$46*A37</f>
        <v/>
      </c>
      <c r="C37" s="14">
        <f>Assumptions!$B$46*A37*Assumptions!$B$51+(Assumptions!$B$46*A37+(Assumptions!$B$46-Assumptions!$B$46*Assumptions!$B$52)*A37)</f>
        <v/>
      </c>
      <c r="D37" s="17">
        <f>'Blended Capital Case'!F23+(SUM('Blended Capital Case'!B8:F8)-C37)</f>
        <v/>
      </c>
      <c r="E37" s="15">
        <f>IF(D37&lt;Assumptions!$B$30,"BREACH","Headroom")</f>
        <v/>
      </c>
    </row>
    <row r="38">
      <c r="A38" s="9" t="n">
        <v>0.12</v>
      </c>
      <c r="B38" s="14">
        <f>Assumptions!$B$46*A38</f>
        <v/>
      </c>
      <c r="C38" s="14">
        <f>Assumptions!$B$46*A38*Assumptions!$B$51+(Assumptions!$B$46*A38+(Assumptions!$B$46-Assumptions!$B$46*Assumptions!$B$52)*A38)</f>
        <v/>
      </c>
      <c r="D38" s="17">
        <f>'Blended Capital Case'!F23+(SUM('Blended Capital Case'!B8:F8)-C38)</f>
        <v/>
      </c>
      <c r="E38" s="15">
        <f>IF(D38&lt;Assumptions!$B$30,"BREACH","Headroom")</f>
        <v/>
      </c>
    </row>
    <row r="39">
      <c r="A39" s="9" t="n">
        <v>0.13</v>
      </c>
      <c r="B39" s="14">
        <f>Assumptions!$B$46*A39</f>
        <v/>
      </c>
      <c r="C39" s="14">
        <f>Assumptions!$B$46*A39*Assumptions!$B$51+(Assumptions!$B$46*A39+(Assumptions!$B$46-Assumptions!$B$46*Assumptions!$B$52)*A39)</f>
        <v/>
      </c>
      <c r="D39" s="17">
        <f>'Blended Capital Case'!F23+(SUM('Blended Capital Case'!B8:F8)-C39)</f>
        <v/>
      </c>
      <c r="E39" s="15">
        <f>IF(D39&lt;Assumptions!$B$30,"BREACH","Headroom")</f>
        <v/>
      </c>
    </row>
    <row r="41">
      <c r="A41" s="3" t="inlineStr">
        <is>
          <t>Break even analysis</t>
        </is>
      </c>
      <c r="B41" s="6" t="n"/>
      <c r="C41" s="6" t="n"/>
      <c r="D41" s="6" t="n"/>
      <c r="E41" s="6" t="n"/>
      <c r="F41" s="6" t="n"/>
      <c r="G41" s="6" t="n"/>
    </row>
    <row r="42" ht="26" customHeight="1">
      <c r="A42" s="13" t="inlineStr">
        <is>
          <t>At what point the cost structure stops consuming cash.</t>
        </is>
      </c>
    </row>
    <row r="43">
      <c r="A43" s="7" t="inlineStr">
        <is>
          <t>Year 5 operating expenses as a percentage of revenue</t>
        </is>
      </c>
      <c r="B43" s="16">
        <f>-'Operating Forecast'!F21/'Operating Forecast'!F15</f>
        <v/>
      </c>
    </row>
    <row r="44">
      <c r="A44" s="7" t="inlineStr">
        <is>
          <t>Gross margin</t>
        </is>
      </c>
      <c r="B44" s="16">
        <f>Assumptions!$B$11</f>
        <v/>
      </c>
    </row>
    <row r="45">
      <c r="A45" s="7" t="inlineStr">
        <is>
          <t>Contribution margin at the year 5 cost structure</t>
        </is>
      </c>
      <c r="B45" s="16">
        <f>Assumptions!$B$11+'Operating Forecast'!F21/'Operating Forecast'!F15</f>
        <v/>
      </c>
    </row>
    <row r="46">
      <c r="A46" s="7" t="inlineStr">
        <is>
          <t>First year of positive EBITDA</t>
        </is>
      </c>
      <c r="B46" s="15">
        <f>IF('Operating Forecast'!B22&gt;0,1,IF('Operating Forecast'!C22&gt;0,2,IF('Operating Forecast'!D22&gt;0,3,IF('Operating Forecast'!E22&gt;0,4,IF('Operating Forecast'!F22&gt;0,5,"beyond year 5")))))</f>
        <v/>
      </c>
    </row>
    <row r="47">
      <c r="A47" s="7" t="inlineStr">
        <is>
          <t>First year of positive unlevered free cash flow</t>
        </is>
      </c>
      <c r="B47" s="15">
        <f>IF('Operating Forecast'!B28&gt;0,1,IF('Operating Forecast'!C28&gt;0,2,IF('Operating Forecast'!D28&gt;0,3,IF('Operating Forecast'!E28&gt;0,4,IF('Operating Forecast'!F28&gt;0,5,"beyond year 5")))))</f>
        <v/>
      </c>
    </row>
    <row r="48">
      <c r="A48" s="7" t="inlineStr">
        <is>
          <t>Cumulative unlevered free cash flow over five years</t>
        </is>
      </c>
      <c r="B48" s="14">
        <f>SUM('Operating Forecast'!B28:F28)</f>
        <v/>
      </c>
    </row>
    <row r="49">
      <c r="A49" s="7" t="inlineStr">
        <is>
          <t>Cumulative cash burn before financing</t>
        </is>
      </c>
      <c r="B49" s="14">
        <f>-SUM('Operating Forecast'!B28:F28)</f>
        <v/>
      </c>
    </row>
    <row r="51">
      <c r="A51" s="13" t="inlineStr">
        <is>
          <t>All figures are hypothetical and illustrative.</t>
        </is>
      </c>
    </row>
  </sheetData>
  <mergeCells count="13">
    <mergeCell ref="A32:G32"/>
    <mergeCell ref="A14:G14"/>
    <mergeCell ref="A1:G1"/>
    <mergeCell ref="A3:G3"/>
    <mergeCell ref="A6:G6"/>
    <mergeCell ref="A24:G24"/>
    <mergeCell ref="A2:G2"/>
    <mergeCell ref="A15:G15"/>
    <mergeCell ref="A42:G42"/>
    <mergeCell ref="A41:G41"/>
    <mergeCell ref="A33:G33"/>
    <mergeCell ref="A5:G5"/>
    <mergeCell ref="A23:G23"/>
  </mergeCells>
  <conditionalFormatting sqref="E35:E39">
    <cfRule type="cellIs" priority="1" operator="equal" dxfId="2">
      <formula>"BREACH"</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ht="22" customHeight="1">
      <c r="A1" s="1" t="inlineStr">
        <is>
          <t>Downside Case</t>
        </is>
      </c>
    </row>
    <row r="2">
      <c r="A2" s="2" t="inlineStr">
        <is>
          <t>Lower growth, no net expansion, higher churn, thinner margin, and sales spend that does not fall. This is the test that separates the three structures.</t>
        </is>
      </c>
    </row>
    <row r="3">
      <c r="A3" s="5" t="inlineStr">
        <is>
          <t>All figures are hypothetical and illustrative.</t>
        </is>
      </c>
    </row>
    <row r="5">
      <c r="A5" s="12" t="inlineStr">
        <is>
          <t>Line item (USD millions)</t>
        </is>
      </c>
      <c r="B5" s="12" t="inlineStr">
        <is>
          <t>Year 1</t>
        </is>
      </c>
      <c r="C5" s="12" t="inlineStr">
        <is>
          <t>Year 2</t>
        </is>
      </c>
      <c r="D5" s="12" t="inlineStr">
        <is>
          <t>Year 3</t>
        </is>
      </c>
      <c r="E5" s="12" t="inlineStr">
        <is>
          <t>Year 4</t>
        </is>
      </c>
      <c r="F5" s="12" t="inlineStr">
        <is>
          <t>Year 5</t>
        </is>
      </c>
    </row>
    <row r="6">
      <c r="A6" s="7" t="inlineStr">
        <is>
          <t>Beginning ARR</t>
        </is>
      </c>
      <c r="B6" s="14">
        <f>Assumptions!$B$6</f>
        <v/>
      </c>
      <c r="C6" s="14">
        <f>B8</f>
        <v/>
      </c>
      <c r="D6" s="14">
        <f>C8</f>
        <v/>
      </c>
      <c r="E6" s="14">
        <f>D8</f>
        <v/>
      </c>
      <c r="F6" s="14">
        <f>E8</f>
        <v/>
      </c>
    </row>
    <row r="7">
      <c r="A7" s="7" t="inlineStr">
        <is>
          <t>Growth rate</t>
        </is>
      </c>
      <c r="B7" s="16">
        <f>MAX(0,Assumptions!$B$55-Assumptions!$B$8*0)</f>
        <v/>
      </c>
      <c r="C7" s="16">
        <f>MAX(0,Assumptions!$B$55-Assumptions!$B$8*1)</f>
        <v/>
      </c>
      <c r="D7" s="16">
        <f>MAX(0,Assumptions!$B$55-Assumptions!$B$8*2)</f>
        <v/>
      </c>
      <c r="E7" s="16">
        <f>MAX(0,Assumptions!$B$55-Assumptions!$B$8*3)</f>
        <v/>
      </c>
      <c r="F7" s="16">
        <f>MAX(0,Assumptions!$B$55-Assumptions!$B$8*4)</f>
        <v/>
      </c>
    </row>
    <row r="8">
      <c r="A8" s="7" t="inlineStr">
        <is>
          <t>Ending ARR</t>
        </is>
      </c>
      <c r="B8" s="17">
        <f>B6*(1+B7)</f>
        <v/>
      </c>
      <c r="C8" s="17">
        <f>C6*(1+C7)</f>
        <v/>
      </c>
      <c r="D8" s="17">
        <f>D6*(1+D7)</f>
        <v/>
      </c>
      <c r="E8" s="17">
        <f>E6*(1+E7)</f>
        <v/>
      </c>
      <c r="F8" s="17">
        <f>F6*(1+F7)</f>
        <v/>
      </c>
    </row>
    <row r="9">
      <c r="A9" s="7" t="inlineStr">
        <is>
          <t>New ARR required</t>
        </is>
      </c>
      <c r="B9" s="14">
        <f>B8-B6*Assumptions!$B$56</f>
        <v/>
      </c>
      <c r="C9" s="14">
        <f>C8-C6*Assumptions!$B$56</f>
        <v/>
      </c>
      <c r="D9" s="14">
        <f>D8-D6*Assumptions!$B$56</f>
        <v/>
      </c>
      <c r="E9" s="14">
        <f>E8-E6*Assumptions!$B$56</f>
        <v/>
      </c>
      <c r="F9" s="14">
        <f>F8-F6*Assumptions!$B$56</f>
        <v/>
      </c>
    </row>
    <row r="10">
      <c r="A10" s="7" t="inlineStr">
        <is>
          <t>Churned ARR</t>
        </is>
      </c>
      <c r="B10" s="14">
        <f>-B6*(1-Assumptions!$B$57)</f>
        <v/>
      </c>
      <c r="C10" s="14">
        <f>-C6*(1-Assumptions!$B$57)</f>
        <v/>
      </c>
      <c r="D10" s="14">
        <f>-D6*(1-Assumptions!$B$57)</f>
        <v/>
      </c>
      <c r="E10" s="14">
        <f>-E6*(1-Assumptions!$B$57)</f>
        <v/>
      </c>
      <c r="F10" s="14">
        <f>-F6*(1-Assumptions!$B$57)</f>
        <v/>
      </c>
    </row>
    <row r="11">
      <c r="A11" s="7" t="inlineStr">
        <is>
          <t>Revenue</t>
        </is>
      </c>
      <c r="B11" s="14">
        <f>(B6+B8)/2</f>
        <v/>
      </c>
      <c r="C11" s="14">
        <f>(C6+C8)/2</f>
        <v/>
      </c>
      <c r="D11" s="14">
        <f>(D6+D8)/2</f>
        <v/>
      </c>
      <c r="E11" s="14">
        <f>(E6+E8)/2</f>
        <v/>
      </c>
      <c r="F11" s="14">
        <f>(F6+F8)/2</f>
        <v/>
      </c>
    </row>
    <row r="12">
      <c r="A12" s="7" t="inlineStr">
        <is>
          <t>Gross profit</t>
        </is>
      </c>
      <c r="B12" s="14">
        <f>B11*Assumptions!$B$58</f>
        <v/>
      </c>
      <c r="C12" s="14">
        <f>C11*Assumptions!$B$58</f>
        <v/>
      </c>
      <c r="D12" s="14">
        <f>D11*Assumptions!$B$58</f>
        <v/>
      </c>
      <c r="E12" s="14">
        <f>E11*Assumptions!$B$58</f>
        <v/>
      </c>
      <c r="F12" s="14">
        <f>F11*Assumptions!$B$58</f>
        <v/>
      </c>
    </row>
    <row r="13">
      <c r="A13" s="7" t="inlineStr">
        <is>
          <t>Total operating expenses</t>
        </is>
      </c>
      <c r="B13" s="14">
        <f>-B11*(Assumptions!B$21+Assumptions!$B$59+Assumptions!B$22+Assumptions!B$23)</f>
        <v/>
      </c>
      <c r="C13" s="14">
        <f>-C11*(Assumptions!C$21+Assumptions!$B$59+Assumptions!C$22+Assumptions!C$23)</f>
        <v/>
      </c>
      <c r="D13" s="14">
        <f>-D11*(Assumptions!D$21+Assumptions!$B$59+Assumptions!D$22+Assumptions!D$23)</f>
        <v/>
      </c>
      <c r="E13" s="14">
        <f>-E11*(Assumptions!E$21+Assumptions!$B$59+Assumptions!E$22+Assumptions!E$23)</f>
        <v/>
      </c>
      <c r="F13" s="14">
        <f>-F11*(Assumptions!F$21+Assumptions!$B$59+Assumptions!F$22+Assumptions!F$23)</f>
        <v/>
      </c>
    </row>
    <row r="14">
      <c r="A14" s="7" t="inlineStr">
        <is>
          <t>EBITDA</t>
        </is>
      </c>
      <c r="B14" s="17">
        <f>B12+B13</f>
        <v/>
      </c>
      <c r="C14" s="17">
        <f>C12+C13</f>
        <v/>
      </c>
      <c r="D14" s="17">
        <f>D12+D13</f>
        <v/>
      </c>
      <c r="E14" s="17">
        <f>E12+E13</f>
        <v/>
      </c>
      <c r="F14" s="17">
        <f>F12+F13</f>
        <v/>
      </c>
    </row>
    <row r="15">
      <c r="A15" s="7" t="inlineStr">
        <is>
          <t>Capital expenditure</t>
        </is>
      </c>
      <c r="B15" s="14">
        <f>-B11*Assumptions!$B$12</f>
        <v/>
      </c>
      <c r="C15" s="14">
        <f>-C11*Assumptions!$B$12</f>
        <v/>
      </c>
      <c r="D15" s="14">
        <f>-D11*Assumptions!$B$12</f>
        <v/>
      </c>
      <c r="E15" s="14">
        <f>-E11*Assumptions!$B$12</f>
        <v/>
      </c>
      <c r="F15" s="14">
        <f>-F11*Assumptions!$B$12</f>
        <v/>
      </c>
    </row>
    <row r="16">
      <c r="A16" s="7" t="inlineStr">
        <is>
          <t>Deferred revenue benefit</t>
        </is>
      </c>
      <c r="B16" s="14">
        <f>(B8-B6)*Assumptions!$B$13</f>
        <v/>
      </c>
      <c r="C16" s="14">
        <f>(C8-C6)*Assumptions!$B$13</f>
        <v/>
      </c>
      <c r="D16" s="14">
        <f>(D8-D6)*Assumptions!$B$13</f>
        <v/>
      </c>
      <c r="E16" s="14">
        <f>(E8-E6)*Assumptions!$B$13</f>
        <v/>
      </c>
      <c r="F16" s="14">
        <f>(F8-F6)*Assumptions!$B$13</f>
        <v/>
      </c>
    </row>
    <row r="17">
      <c r="A17" s="7" t="inlineStr">
        <is>
          <t>Unlevered free cash flow</t>
        </is>
      </c>
      <c r="B17" s="17">
        <f>B14+B15+B16</f>
        <v/>
      </c>
      <c r="C17" s="17">
        <f>C14+C15+C16</f>
        <v/>
      </c>
      <c r="D17" s="17">
        <f>D14+D15+D16</f>
        <v/>
      </c>
      <c r="E17" s="17">
        <f>E14+E15+E16</f>
        <v/>
      </c>
      <c r="F17" s="17">
        <f>F14+F15+F16</f>
        <v/>
      </c>
    </row>
    <row r="19">
      <c r="A19" s="3" t="inlineStr">
        <is>
          <t>Cash outcome under each structure</t>
        </is>
      </c>
      <c r="B19" s="6" t="n"/>
      <c r="C19" s="6" t="n"/>
      <c r="D19" s="6" t="n"/>
      <c r="E19" s="6" t="n"/>
      <c r="F19" s="6" t="n"/>
    </row>
    <row r="20">
      <c r="A20" s="12" t="inlineStr">
        <is>
          <t>Closing cash (USD millions)</t>
        </is>
      </c>
      <c r="B20" s="12" t="inlineStr">
        <is>
          <t>Year 1</t>
        </is>
      </c>
      <c r="C20" s="12" t="inlineStr">
        <is>
          <t>Year 2</t>
        </is>
      </c>
      <c r="D20" s="12" t="inlineStr">
        <is>
          <t>Year 3</t>
        </is>
      </c>
      <c r="E20" s="12" t="inlineStr">
        <is>
          <t>Year 4</t>
        </is>
      </c>
      <c r="F20" s="12" t="inlineStr">
        <is>
          <t>Year 5</t>
        </is>
      </c>
    </row>
    <row r="21">
      <c r="A21" s="7" t="inlineStr">
        <is>
          <t>Growth equity</t>
        </is>
      </c>
      <c r="B21" s="14">
        <f>'Capital Structures'!B13+B17</f>
        <v/>
      </c>
      <c r="C21" s="14">
        <f>B21+C17</f>
        <v/>
      </c>
      <c r="D21" s="14">
        <f>C21+D17</f>
        <v/>
      </c>
      <c r="E21" s="14">
        <f>D21+E17</f>
        <v/>
      </c>
      <c r="F21" s="14">
        <f>E21+F17</f>
        <v/>
      </c>
    </row>
    <row r="22">
      <c r="A22" s="7" t="inlineStr">
        <is>
          <t>Private credit</t>
        </is>
      </c>
      <c r="B22" s="14">
        <f>'Capital Structures'!C13+B17-'Private Credit Case'!B8-'Private Credit Case'!B10</f>
        <v/>
      </c>
      <c r="C22" s="14">
        <f>B22+C17-'Private Credit Case'!C8-'Private Credit Case'!C10</f>
        <v/>
      </c>
      <c r="D22" s="14">
        <f>C22+D17-'Private Credit Case'!D8-'Private Credit Case'!D10</f>
        <v/>
      </c>
      <c r="E22" s="14">
        <f>D22+E17-'Private Credit Case'!E8-'Private Credit Case'!E10</f>
        <v/>
      </c>
      <c r="F22" s="14">
        <f>E22+F17-'Private Credit Case'!F8-'Private Credit Case'!F10</f>
        <v/>
      </c>
    </row>
    <row r="23">
      <c r="A23" s="7" t="inlineStr">
        <is>
          <t>Blended capital</t>
        </is>
      </c>
      <c r="B23" s="14">
        <f>'Capital Structures'!D13+B17-'Blended Capital Case'!B8-'Blended Capital Case'!B10</f>
        <v/>
      </c>
      <c r="C23" s="14">
        <f>B23+C17-'Blended Capital Case'!C8-'Blended Capital Case'!C10</f>
        <v/>
      </c>
      <c r="D23" s="14">
        <f>C23+D17-'Blended Capital Case'!D8-'Blended Capital Case'!D10</f>
        <v/>
      </c>
      <c r="E23" s="14">
        <f>D23+E17-'Blended Capital Case'!E8-'Blended Capital Case'!E10</f>
        <v/>
      </c>
      <c r="F23" s="14">
        <f>E23+F17-'Blended Capital Case'!F8-'Blended Capital Case'!F10</f>
        <v/>
      </c>
    </row>
    <row r="25">
      <c r="A25" s="12" t="inlineStr">
        <is>
          <t>Structure</t>
        </is>
      </c>
      <c r="B25" s="12" t="inlineStr">
        <is>
          <t>Year 5 cash</t>
        </is>
      </c>
      <c r="C25" s="12" t="inlineStr">
        <is>
          <t>Survives five years</t>
        </is>
      </c>
      <c r="D25" s="12" t="inlineStr">
        <is>
          <t>Assessment</t>
        </is>
      </c>
    </row>
    <row r="26">
      <c r="A26" s="7" t="inlineStr">
        <is>
          <t>Growth equity</t>
        </is>
      </c>
      <c r="B26" s="17">
        <f>F21</f>
        <v/>
      </c>
      <c r="C26" s="15">
        <f>IF(F21&gt;0,"Yes","No")</f>
        <v/>
      </c>
      <c r="D26" s="15">
        <f>IF(F21&lt;=0,"Fails: runs out of cash",IF(MIN(B21:F21)&lt;Assumptions!$B$30,"Survives but breaches the minimum cash covenant","Survives with covenant headroom"))</f>
        <v/>
      </c>
    </row>
    <row r="27">
      <c r="A27" s="7" t="inlineStr">
        <is>
          <t>Private credit</t>
        </is>
      </c>
      <c r="B27" s="17">
        <f>F22</f>
        <v/>
      </c>
      <c r="C27" s="15">
        <f>IF(F22&gt;0,"Yes","No")</f>
        <v/>
      </c>
      <c r="D27" s="15">
        <f>IF(F22&lt;=0,"Fails: runs out of cash",IF(MIN(B22:F22)&lt;Assumptions!$B$30,"Survives but breaches the minimum cash covenant","Survives with covenant headroom"))</f>
        <v/>
      </c>
    </row>
    <row r="28">
      <c r="A28" s="7" t="inlineStr">
        <is>
          <t>Blended capital</t>
        </is>
      </c>
      <c r="B28" s="17">
        <f>F23</f>
        <v/>
      </c>
      <c r="C28" s="15">
        <f>IF(F23&gt;0,"Yes","No")</f>
        <v/>
      </c>
      <c r="D28" s="15">
        <f>IF(F23&lt;=0,"Fails: runs out of cash",IF(MIN(B23:F23)&lt;Assumptions!$B$30,"Survives but breaches the minimum cash covenant","Survives with covenant headroom"))</f>
        <v/>
      </c>
    </row>
    <row r="30" ht="62" customHeight="1">
      <c r="A30" s="13" t="inlineStr">
        <is>
          <t>This is the honest boundary of the recommendation. In the base case the blended structure is clearly best. In the downside case it survives only narrowly and breaches the minimum cash covenant, while the all debt structure fails outright and the all equity structure is comfortable. A reader who assigns a high probability to the downside should prefer more equity in the mix, and the equity component is an input on the Assumptions sheet precisely so that view can be tested.</t>
        </is>
      </c>
    </row>
    <row r="32">
      <c r="A32" s="13" t="inlineStr">
        <is>
          <t>All figures are hypothetical and illustrative.</t>
        </is>
      </c>
    </row>
  </sheetData>
  <mergeCells count="5">
    <mergeCell ref="A2:F2"/>
    <mergeCell ref="A19:F19"/>
    <mergeCell ref="A1:F1"/>
    <mergeCell ref="A3:F3"/>
    <mergeCell ref="A30:F30"/>
  </mergeCells>
  <conditionalFormatting sqref="B14:F14">
    <cfRule type="cellIs" priority="1" operator="lessThan" dxfId="1">
      <formula>0</formula>
    </cfRule>
  </conditionalFormatting>
  <conditionalFormatting sqref="B21:F21">
    <cfRule type="cellIs" priority="2" operator="lessThan" dxfId="2">
      <formula>Assumptions!$B$30</formula>
    </cfRule>
  </conditionalFormatting>
  <conditionalFormatting sqref="B22:F22">
    <cfRule type="cellIs" priority="3" operator="lessThan" dxfId="2">
      <formula>Assumptions!$B$30</formula>
    </cfRule>
  </conditionalFormatting>
  <conditionalFormatting sqref="B23:F23">
    <cfRule type="cellIs" priority="4" operator="lessThan" dxfId="2">
      <formula>Assumptions!$B$30</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30" customWidth="1" min="1" max="1"/>
    <col width="108" customWidth="1" min="2" max="2"/>
  </cols>
  <sheetData>
    <row r="1">
      <c r="A1" s="1" t="inlineStr">
        <is>
          <t>Sources and Disclosures</t>
        </is>
      </c>
    </row>
    <row r="2">
      <c r="A2" s="2" t="inlineStr">
        <is>
          <t>What this workbook is, what it is not, and where its inputs come from.</t>
        </is>
      </c>
    </row>
    <row r="4" ht="30" customHeight="1">
      <c r="A4" s="3" t="inlineStr">
        <is>
          <t>Hypothetical company</t>
        </is>
      </c>
      <c r="B4" s="4" t="inlineStr">
        <is>
          <t>Northstar Workflow Systems is a hypothetical company created solely for an illustrative underwriting exercise. It is not a real business or investment opportunity.</t>
        </is>
      </c>
    </row>
    <row r="5" ht="39" customHeight="1">
      <c r="A5" s="3" t="inlineStr">
        <is>
          <t>Illustrative figures</t>
        </is>
      </c>
      <c r="B5" s="4" t="inlineStr">
        <is>
          <t>All operating, financial, and transaction assumptions in this workbook are illustrative. They do not represent an actual company, an actual financing, or an investment recommendation. Every output sheet carries the line: All figures are hypothetical and illustrative.</t>
        </is>
      </c>
    </row>
    <row r="6" ht="39" customHeight="1">
      <c r="A6" s="3" t="inlineStr">
        <is>
          <t>Project disclosure</t>
        </is>
      </c>
      <c r="B6" s="4" t="inlineStr">
        <is>
          <t>This is an independent work sample built by Sahil Modi. It is not affiliated with or endorsed by any investment firm. The private company universe published alongside this model is based on dated public sources, and missing information there is identified as not publicly disclosed.</t>
        </is>
      </c>
    </row>
    <row r="7" ht="52" customHeight="1">
      <c r="A7" s="3" t="inlineStr">
        <is>
          <t>Source of the assumptions</t>
        </is>
      </c>
      <c r="B7" s="4" t="inlineStr">
        <is>
          <t>The assumptions were chosen to represent a plausible mid stage B2B enterprise SaaS company at the point where a growth financing decision becomes unavoidable: roughly USD 12 million of ARR, growth in the low thirties, net revenue retention above 100 percent, gross retention in the high eighties, gross margin near 80 percent, and negative EBITDA. They are not drawn from any real company.</t>
        </is>
      </c>
    </row>
    <row r="8" ht="30" customHeight="1">
      <c r="A8" s="3" t="inlineStr">
        <is>
          <t>Relationship to the company universe</t>
        </is>
      </c>
      <c r="B8" s="4" t="inlineStr">
        <is>
          <t>No company in the real private company universe appears in this workbook, and this hypothetical company appears nowhere in that universe. The separation is enforced by automated tests in the repository.</t>
        </is>
      </c>
    </row>
    <row r="9" ht="39" customHeight="1">
      <c r="A9" s="3" t="inlineStr">
        <is>
          <t>Debt terms</t>
        </is>
      </c>
      <c r="B9" s="4" t="inlineStr">
        <is>
          <t>Pricing, tenor, amortisation, original issue discount, and covenant levels are illustrative and set at levels broadly consistent with senior secured growth facilities for software companies. They are not quotes and do not reflect any lender's actual terms.</t>
        </is>
      </c>
    </row>
    <row r="10" ht="39" customHeight="1">
      <c r="A10" s="3" t="inlineStr">
        <is>
          <t>What has been deliberately excluded</t>
        </is>
      </c>
      <c r="B10" s="4" t="inlineStr">
        <is>
          <t>No estimate of any real company's ARR, revenue, retention, gross margin, EBITDA, burn, runway, valuation, customer concentration, debt balance, covenants, profitability, founder ownership, or exit value appears anywhere in this workbook or in the accompanying research.</t>
        </is>
      </c>
    </row>
    <row r="11" ht="39" customHeight="1">
      <c r="A11" s="3" t="inlineStr">
        <is>
          <t>Development disclosure</t>
        </is>
      </c>
      <c r="B11" s="4" t="inlineStr">
        <is>
          <t>Sahil Modi designed the research framework, scoring logic, underwriting structure, and investment analysis. AI-assisted development tools were used to support coding, research organization, testing, and document production. Every company record and material claim was reviewed against dated public sources.</t>
        </is>
      </c>
    </row>
    <row r="12" ht="30" customHeight="1">
      <c r="A12" s="3" t="inlineStr">
        <is>
          <t>Repository</t>
        </is>
      </c>
      <c r="B12" s="4" t="inlineStr">
        <is>
          <t>Source code, the company research records, and the script that generates this workbook are public at https://github.com/smodi13/growth-capital-origination-engine</t>
        </is>
      </c>
    </row>
    <row r="13" ht="30" customHeight="1">
      <c r="A13" s="3" t="inlineStr">
        <is>
          <t>Contact</t>
        </is>
      </c>
      <c r="B13" s="4" t="inlineStr">
        <is>
          <t>Sahil Modi, modi.sahil@gmail.com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2026-08-06T03:22:46Z</dcterms:created>
  <dcterms:modified xmlns:dcterms="http://purl.org/dc/terms/" xmlns:xsi="http://www.w3.org/2001/XMLSchema-instance" xsi:type="dcterms:W3CDTF">2026-08-06T03:22:46Z</dcterms:modified>
</cp:coreProperties>
</file>