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comments10.xml" ContentType="application/vnd.openxmlformats-officedocument.spreadsheetml.comment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comments5.xml" ContentType="application/vnd.openxmlformats-officedocument.spreadsheetml.comments+xml"/>
  <Override PartName="/xl/comments6.xml" ContentType="application/vnd.openxmlformats-officedocument.spreadsheetml.comments+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 Me" sheetId="1" state="visible" r:id="rId3"/>
    <sheet name="IC Summary" sheetId="2" state="visible" r:id="rId4"/>
    <sheet name="Assumptions" sheetId="3" state="visible" r:id="rId5"/>
    <sheet name="Historical Financials" sheetId="4" state="visible" r:id="rId6"/>
    <sheet name="Operating Forecast" sheetId="5" state="visible" r:id="rId7"/>
    <sheet name="SaaS Metrics" sheetId="6" state="visible" r:id="rId8"/>
    <sheet name="Capital Structures" sheetId="7" state="visible" r:id="rId9"/>
    <sheet name="Growth Equity Case" sheetId="8" state="visible" r:id="rId10"/>
    <sheet name="Private Credit Case" sheetId="9" state="visible" r:id="rId11"/>
    <sheet name="Blended Capital Case" sheetId="10" state="visible" r:id="rId12"/>
    <sheet name="Debt Schedule" sheetId="11" state="visible" r:id="rId13"/>
    <sheet name="Returns Analysis" sheetId="12" state="visible" r:id="rId14"/>
    <sheet name="Sensitivities" sheetId="13" state="visible" r:id="rId15"/>
    <sheet name="Downside Case" sheetId="14" state="visible" r:id="rId16"/>
    <sheet name="Model Checks" sheetId="15" state="visible" r:id="rId17"/>
    <sheet name="Sources and Disclosures" sheetId="16" state="visible" r:id="rId18"/>
  </sheets>
  <definedNames>
    <definedName function="false" hidden="false" localSheetId="2" name="_xlnm.Print_Area" vbProcedure="false">Assumptions!$A$1:$G$61</definedName>
    <definedName function="false" hidden="false" localSheetId="6" name="_xlnm.Print_Area" vbProcedure="false">'Capital Structures'!$A$1:$D$44</definedName>
    <definedName function="false" hidden="false" localSheetId="1" name="_xlnm.Print_Area" vbProcedure="false">'IC Summary'!$A$1:$H$34</definedName>
    <definedName function="false" hidden="true" localSheetId="1" name="_xlnm._FilterDatabase" vbProcedure="false">'IC Summary'!$A$12:$H$20</definedName>
    <definedName function="false" hidden="false" localSheetId="14" name="_xlnm.Print_Area" vbProcedure="false">'Model Checks'!$A$1:$F$24</definedName>
    <definedName function="false" hidden="false" localSheetId="11" name="_xlnm.Print_Area" vbProcedure="false">'Returns Analysis'!$A$1:$G$44</definedName>
    <definedName function="false" hidden="false" localSheetId="12" name="_xlnm.Print_Area" vbProcedure="false">Sensitivities!$A$1:$G$67</definedName>
    <definedName function="false" hidden="false" localSheetId="15" name="_xlnm.Print_Area" vbProcedure="false">'Sources and Disclosures'!$A$1:$B$15</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Sahil Modi</author>
  </authors>
  <commentList>
    <comment ref="B6"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7"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8"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9"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10"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11"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12"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13"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14"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15"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16"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17"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21"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22"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23"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26"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27"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28"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29"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30"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33"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36"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37"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38"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39"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40"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41"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42"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45"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46"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47"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48"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49"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50"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51"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52"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55"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56"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57"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58"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B59"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C21"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C22"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C23"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D21"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D22"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D23"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E21"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E22"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E23"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F21"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F22"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 ref="F23" authorId="0">
      <text>
        <r>
          <rPr>
            <sz val="10"/>
            <rFont val="Arial"/>
            <family val="2"/>
          </rPr>
          <t xml:space="preserve">Hypothetical illustrative input. Editable scenario assumption; not sourced from a real company.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-117</xdr:colOff>
                <xdr:row>3</xdr:row>
                <xdr:rowOff>12</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 guide</author>
  </authors>
  <commentList>
    <comment ref="B9" authorId="0">
      <text>
        <r>
          <rPr>
            <sz val="10"/>
            <rFont val="Arial"/>
            <family val="2"/>
          </rPr>
          <t xml:space="preserve">New ARR is a residual, not an input. It equals the ending ARR the growth target implies, less the ARR the existing base retains after churn and expansion. Lowering net revenue retention raises the New ARR the sales team must win to hit the same target.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12</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 guide</author>
  </authors>
  <commentList>
    <comment ref="B10" authorId="0">
      <text>
        <r>
          <rPr>
            <sz val="10"/>
            <rFont val="Arial"/>
            <family val="2"/>
          </rPr>
          <t xml:space="preserve">Blended CAC payback. Sales and marketing supports both new logos and expansion, so it is recovered against gross profit on new plus expansion ARR. Charging the whole line to new ARR alone would overstate payback materially.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12</xdr:rowOff>
              </xdr:to>
            </anchor>
          </commentPr>
        </mc:Choice>
        <mc:Fallback/>
      </mc:AlternateContent>
    </comment>
    <comment ref="B11" authorId="0">
      <text>
        <r>
          <rPr>
            <sz val="10"/>
            <rFont val="Arial"/>
            <family val="2"/>
          </rPr>
          <t xml:space="preserve">Net cash burned per dollar of net new ARR added. Below 1.0x is efficient; the ratio improves every year in the base case as operating leverage arrives.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12</xdr:rowOff>
              </xdr:to>
            </anchor>
          </commentPr>
        </mc:Choice>
        <mc:Fallback/>
      </mc:AlternateContent>
    </comment>
    <comment ref="B12" authorId="0">
      <text>
        <r>
          <rPr>
            <sz val="10"/>
            <rFont val="Arial"/>
            <family val="2"/>
          </rPr>
          <t xml:space="preserve">ARR growth percentage plus EBITDA margin percentage. This case starts well below 40, which is the central weakness of the credit story and is stated as such in the memorandum.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 guide</author>
  </authors>
  <commentList>
    <comment ref="B28" authorId="0">
      <text>
        <r>
          <rPr>
            <sz val="10"/>
            <rFont val="Arial"/>
            <family val="2"/>
          </rPr>
          <t xml:space="preserve">Five year single entry and single exit, so the IRR reduces to the fifth root of MOIC less one. An explicit cash flow line is laid out on the Returns Analysis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12</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 guide</author>
  </authors>
  <commentList>
    <comment ref="B40" authorId="0">
      <text>
        <r>
          <rPr>
            <sz val="10"/>
            <rFont val="Arial"/>
            <family val="2"/>
          </rPr>
          <t xml:space="preserve">Five year single entry and single exit, so the IRR reduces to the fifth root of MOIC less one. An explicit cash flow line is laid out on the Returns Analysis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12</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Model guide</author>
  </authors>
  <commentList>
    <comment ref="B40" authorId="0">
      <text>
        <r>
          <rPr>
            <sz val="10"/>
            <rFont val="Arial"/>
            <family val="2"/>
          </rPr>
          <t xml:space="preserve">Five year single entry and single exit, so the IRR reduces to the fifth root of MOIC less one. An explicit cash flow line is laid out on the Returns Analysis sheet.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-103</xdr:colOff>
                <xdr:row>3</xdr:row>
                <xdr:rowOff>12</xdr:rowOff>
              </xdr:to>
            </anchor>
          </commentPr>
        </mc:Choice>
        <mc:Fallback/>
      </mc:AlternateContent>
    </comment>
  </commentList>
</comments>
</file>

<file path=xl/sharedStrings.xml><?xml version="1.0" encoding="utf-8"?>
<sst xmlns="http://schemas.openxmlformats.org/spreadsheetml/2006/main" count="678" uniqueCount="391">
  <si>
    <t xml:space="preserve">Enterprise Software Growth Capital Model</t>
  </si>
  <si>
    <t xml:space="preserve">Illustrative underwriting of Northstar Workflow Systems</t>
  </si>
  <si>
    <t xml:space="preserve">Disclosure</t>
  </si>
  <si>
    <t xml:space="preserve">Northstar Workflow Systems is a hypothetical company created solely for an illustrative underwriting exercise. It is not a real business or investment opportunity.</t>
  </si>
  <si>
    <t xml:space="preserve">Purpose</t>
  </si>
  <si>
    <t xml:space="preserve">This workbook underwrites a single hypothetical B2B enterprise SaaS company across three capital structures: all growth equity, all private credit, and a blended structure combining both. The operating forecast is identical in every case, so any difference in outcome is caused by the structure rather than by the business.</t>
  </si>
  <si>
    <t xml:space="preserve">How to use it</t>
  </si>
  <si>
    <t xml:space="preserve">Every input lives on the Assumptions sheet and is shaded amber. Change any amber cell and the entire workbook recalculates, including the SaaS metrics, the debt schedules, the returns, the sensitivities, and the downside case. No output anywhere in this workbook is a hardcoded number.</t>
  </si>
  <si>
    <t xml:space="preserve">Colour convention</t>
  </si>
  <si>
    <t xml:space="preserve">Amber cells are inputs you may change. White cells are formulas driven by those inputs. Grey banded rows are subtotals. Red shading appears only where a minimum cash covenant is breached or EBITDA is negative, so the formatting carries meaning rather than decoration.</t>
  </si>
  <si>
    <t xml:space="preserve">Sheet order</t>
  </si>
  <si>
    <t xml:space="preserve">Read Me, IC Summary, Assumptions, Historical Financials, Operating Forecast, SaaS Metrics, Capital Structures, Growth Equity Case, Private Credit Case, Blended Capital Case, Debt Schedule, Returns Analysis, Sensitivities, Downside Case, Model Checks, Sources and Disclosures.</t>
  </si>
  <si>
    <t xml:space="preserve">Key formula: ARR bridge</t>
  </si>
  <si>
    <t xml:space="preserve">Ending ARR = Beginning ARR + New ARR + Expansion ARR less Churned ARR. Churned ARR is set by gross retention and Expansion ARR by the gap between net and gross retention. New ARR is then the residual required to hit the growth target, which makes the sales requirement explicit rather than assumed. If you lower net revenue retention, required New ARR rises automatically.</t>
  </si>
  <si>
    <t xml:space="preserve">Key formula: Revenue</t>
  </si>
  <si>
    <t xml:space="preserve">Revenue = average of beginning and ending ARR for the year. ARR is added through the year rather than on day one, so recognising the full ending ARR as revenue would overstate the period.</t>
  </si>
  <si>
    <t xml:space="preserve">Key formula: Unlevered free cash flow</t>
  </si>
  <si>
    <t xml:space="preserve">EBITDA less capital expenditure plus the deferred revenue benefit on ARR growth. It is stated before any interest or principal so the same cash flow line can be used across all three structures.</t>
  </si>
  <si>
    <t xml:space="preserve">Key formula: Debt service</t>
  </si>
  <si>
    <t xml:space="preserve">Cash interest on the opening balance, plus amortisation once the interest only period ends. PIK interest, if switched on, accretes to the balance rather than being paid in cash.</t>
  </si>
  <si>
    <t xml:space="preserve">Key formula: Exit equity value</t>
  </si>
  <si>
    <t xml:space="preserve">Exit enterprise value at the exit ARR multiple, plus ending cash, less ending debt. The equity investor receives their ownership percentage of that.</t>
  </si>
  <si>
    <t xml:space="preserve">What this workbook is not</t>
  </si>
  <si>
    <t xml:space="preserve">It is not a valuation of any real company, not an investment recommendation, and not a forecast. It is a demonstration of how a structure decision changes dilution, debt service risk, covenant headroom, runway, and returns when the underlying business is held constant.</t>
  </si>
  <si>
    <t xml:space="preserve">Key correction</t>
  </si>
  <si>
    <t xml:space="preserve">Existing holder value is calculated from each structure's actual exit equity value. The selected blend retains approximately USD 9.7 million more for existing holders than all equity; applying the dilution difference to one common equity value would overstate the benefit.</t>
  </si>
  <si>
    <t xml:space="preserve">Built by</t>
  </si>
  <si>
    <t xml:space="preserve">Sahil Modi, modi.sahil@gmail.com</t>
  </si>
  <si>
    <t xml:space="preserve">Investment Committee Summary</t>
  </si>
  <si>
    <t xml:space="preserve">Northstar Workflow Systems - hypothetical SaaS growth capital underwriting</t>
  </si>
  <si>
    <t xml:space="preserve">All figures are hypothetical and illustrative. This is a preliminary structure analysis, not an actual investment recommendation.</t>
  </si>
  <si>
    <t xml:space="preserve">Company and transaction snapshot</t>
  </si>
  <si>
    <t xml:space="preserve">Beginning ARR</t>
  </si>
  <si>
    <t xml:space="preserve">Year 1 ARR growth</t>
  </si>
  <si>
    <t xml:space="preserve">Net revenue retention</t>
  </si>
  <si>
    <t xml:space="preserve">Gross retention</t>
  </si>
  <si>
    <t xml:space="preserve">Gross margin</t>
  </si>
  <si>
    <t xml:space="preserve">Capital requirement</t>
  </si>
  <si>
    <t xml:space="preserve">Entry ARR multiple</t>
  </si>
  <si>
    <t xml:space="preserve">Exit ARR multiple</t>
  </si>
  <si>
    <t xml:space="preserve">Structure comparison</t>
  </si>
  <si>
    <t xml:space="preserve">Metric</t>
  </si>
  <si>
    <t xml:space="preserve">Growth equity</t>
  </si>
  <si>
    <t xml:space="preserve">Private credit</t>
  </si>
  <si>
    <t xml:space="preserve">Selected blend</t>
  </si>
  <si>
    <t xml:space="preserve">Decision lens</t>
  </si>
  <si>
    <t xml:space="preserve">Equity invested</t>
  </si>
  <si>
    <t xml:space="preserve">Capital source</t>
  </si>
  <si>
    <t xml:space="preserve">Debt principal</t>
  </si>
  <si>
    <t xml:space="preserve">Founder dilution</t>
  </si>
  <si>
    <t xml:space="preserve">Ownership cost</t>
  </si>
  <si>
    <t xml:space="preserve">Year 5 cash</t>
  </si>
  <si>
    <t xml:space="preserve">Liquidity</t>
  </si>
  <si>
    <t xml:space="preserve">Minimum cash status</t>
  </si>
  <si>
    <t xml:space="preserve">Base case covenant</t>
  </si>
  <si>
    <t xml:space="preserve">Equity investor MOIC</t>
  </si>
  <si>
    <t xml:space="preserve">Equity return</t>
  </si>
  <si>
    <t xml:space="preserve">Debt investor IRR</t>
  </si>
  <si>
    <t xml:space="preserve">Credit return</t>
  </si>
  <si>
    <t xml:space="preserve">Downside Year 5 cash</t>
  </si>
  <si>
    <t xml:space="preserve">Stress test</t>
  </si>
  <si>
    <t xml:space="preserve">Capital sizing and recommendation boundary</t>
  </si>
  <si>
    <t xml:space="preserve">Base case capital required to finish with minimum cash</t>
  </si>
  <si>
    <t xml:space="preserve">Preliminary recommendation
The selected USD 8m equity / USD 12m debt blend is the base-case return-maximizing structure. It preserves USD 3.1m of liquidity headroom in the base case and saves existing holders approximately USD 9.7m at exit versus all equity. It is not fully downside-protected: the stress case requires roughly USD 4.6m of additional capital to preserve the USD 5m minimum cash threshold. Final sizing should therefore depend on verified retention, gross margin, burn, and customer concentration.</t>
  </si>
  <si>
    <t xml:space="preserve">Gross capital raised</t>
  </si>
  <si>
    <t xml:space="preserve">Base case liquidity headroom</t>
  </si>
  <si>
    <t xml:space="preserve">Downside capital required to finish with minimum cash</t>
  </si>
  <si>
    <t xml:space="preserve">Downside liquidity shortfall at selected blend</t>
  </si>
  <si>
    <t xml:space="preserve">Existing holder value and model controls</t>
  </si>
  <si>
    <t xml:space="preserve">Existing holder proceeds - all equity</t>
  </si>
  <si>
    <t xml:space="preserve">Key controls
• Revenue uses average beginning and ending ARR.
• New ARR is the residual after churn and expansion.
• Cash flows are held constant across structures.
• Debt investor returns assume the remaining principal is refinanced or repaid at maturity.
• The downside case is separate and does not overwrite base assumptions.</t>
  </si>
  <si>
    <t xml:space="preserve">Existing holder proceeds - selected blend</t>
  </si>
  <si>
    <t xml:space="preserve">Incremental value retained by existing holders</t>
  </si>
  <si>
    <t xml:space="preserve">First whole-dollar mix preserving downside minimum cash</t>
  </si>
  <si>
    <t xml:space="preserve">Assumptions</t>
  </si>
  <si>
    <t xml:space="preserve">Every amber cell is an input. Everything else in the workbook derives from these.</t>
  </si>
  <si>
    <t xml:space="preserve">All figures are hypothetical and illustrative.</t>
  </si>
  <si>
    <t xml:space="preserve">Operating assumptions</t>
  </si>
  <si>
    <t xml:space="preserve">Beginning ARR (USD millions)</t>
  </si>
  <si>
    <t xml:space="preserve">Year 1 ARR growth rate</t>
  </si>
  <si>
    <t xml:space="preserve">Annual growth decay (percentage points)</t>
  </si>
  <si>
    <t xml:space="preserve">Capital expenditure (% of revenue)</t>
  </si>
  <si>
    <t xml:space="preserve">Deferred revenue benefit (% of ARR increase)</t>
  </si>
  <si>
    <t xml:space="preserve">Beginning cash (USD millions)</t>
  </si>
  <si>
    <t xml:space="preserve">Existing debt (USD millions)</t>
  </si>
  <si>
    <t xml:space="preserve">Customer count at year 0</t>
  </si>
  <si>
    <t xml:space="preserve">New customer ACV premium to base</t>
  </si>
  <si>
    <t xml:space="preserve">Operating expense ratios (% of revenue)</t>
  </si>
  <si>
    <t xml:space="preserve">Line</t>
  </si>
  <si>
    <t xml:space="preserve">Year 1</t>
  </si>
  <si>
    <t xml:space="preserve">Year 2</t>
  </si>
  <si>
    <t xml:space="preserve">Year 3</t>
  </si>
  <si>
    <t xml:space="preserve">Year 4</t>
  </si>
  <si>
    <t xml:space="preserve">Year 5</t>
  </si>
  <si>
    <t xml:space="preserve">Sales and marketing</t>
  </si>
  <si>
    <t xml:space="preserve">Research and development</t>
  </si>
  <si>
    <t xml:space="preserve">General and administrative</t>
  </si>
  <si>
    <t xml:space="preserve">Transaction assumptions</t>
  </si>
  <si>
    <t xml:space="preserve">Total capital raised (USD millions)</t>
  </si>
  <si>
    <t xml:space="preserve">Existing debt refinanced at close (USD millions)</t>
  </si>
  <si>
    <t xml:space="preserve">Entry ARR multiple (pre-money)</t>
  </si>
  <si>
    <t xml:space="preserve">Minimum cash covenant (USD millions)</t>
  </si>
  <si>
    <t xml:space="preserve">Growth equity case</t>
  </si>
  <si>
    <t xml:space="preserve">New equity invested (USD millions)</t>
  </si>
  <si>
    <t xml:space="preserve">Private credit case</t>
  </si>
  <si>
    <t xml:space="preserve">Principal (USD millions)</t>
  </si>
  <si>
    <t xml:space="preserve">Cash interest rate</t>
  </si>
  <si>
    <t xml:space="preserve">PIK interest rate</t>
  </si>
  <si>
    <t xml:space="preserve">Original issue discount</t>
  </si>
  <si>
    <t xml:space="preserve">Maturity (years)</t>
  </si>
  <si>
    <t xml:space="preserve">Interest only period (years)</t>
  </si>
  <si>
    <t xml:space="preserve">Annual amortisation (% of original principal)</t>
  </si>
  <si>
    <t xml:space="preserve">Blended capital case</t>
  </si>
  <si>
    <t xml:space="preserve">Equity component (USD millions)</t>
  </si>
  <si>
    <t xml:space="preserve">Debt component (USD millions)</t>
  </si>
  <si>
    <t xml:space="preserve">Downside case overrides</t>
  </si>
  <si>
    <t xml:space="preserve">Sales and marketing uplift (percentage points)</t>
  </si>
  <si>
    <t xml:space="preserve">Historical Financials</t>
  </si>
  <si>
    <t xml:space="preserve">Illustrative three year history for Northstar Workflow Systems, ending at the model start point.</t>
  </si>
  <si>
    <t xml:space="preserve">Line item (USD millions)</t>
  </si>
  <si>
    <t xml:space="preserve">Year -3</t>
  </si>
  <si>
    <t xml:space="preserve">Year -2</t>
  </si>
  <si>
    <t xml:space="preserve">Year -1</t>
  </si>
  <si>
    <t xml:space="preserve">Year 0</t>
  </si>
  <si>
    <t xml:space="preserve">Ending ARR</t>
  </si>
  <si>
    <t xml:space="preserve">ARR growth</t>
  </si>
  <si>
    <t xml:space="preserve">n/a</t>
  </si>
  <si>
    <t xml:space="preserve">Revenue</t>
  </si>
  <si>
    <t xml:space="preserve">Gross profit</t>
  </si>
  <si>
    <t xml:space="preserve">Total operating expenses</t>
  </si>
  <si>
    <t xml:space="preserve">EBITDA</t>
  </si>
  <si>
    <t xml:space="preserve">Cash balance</t>
  </si>
  <si>
    <t xml:space="preserve">Customer count</t>
  </si>
  <si>
    <t xml:space="preserve">History is illustrative and is provided so the forecast has a visible starting trajectory. Year 0 ARR, cash, and customer count link to the Assumptions sheet, so the history and the forecast always join.</t>
  </si>
  <si>
    <t xml:space="preserve">Operating Forecast</t>
  </si>
  <si>
    <t xml:space="preserve">Five year base case. Churn and expansion are set by retention; New ARR is the residual required to hit the growth target.</t>
  </si>
  <si>
    <t xml:space="preserve">ARR bridge</t>
  </si>
  <si>
    <t xml:space="preserve">Growth rate</t>
  </si>
  <si>
    <t xml:space="preserve">New ARR</t>
  </si>
  <si>
    <t xml:space="preserve">Expansion ARR</t>
  </si>
  <si>
    <t xml:space="preserve">Churned ARR</t>
  </si>
  <si>
    <t xml:space="preserve">Income statement</t>
  </si>
  <si>
    <t xml:space="preserve">EBITDA margin</t>
  </si>
  <si>
    <t xml:space="preserve">Cash flow</t>
  </si>
  <si>
    <t xml:space="preserve">Capital expenditure</t>
  </si>
  <si>
    <t xml:space="preserve">Deferred revenue benefit</t>
  </si>
  <si>
    <t xml:space="preserve">Unlevered free cash flow</t>
  </si>
  <si>
    <t xml:space="preserve">Customers</t>
  </si>
  <si>
    <t xml:space="preserve">Beginning customers</t>
  </si>
  <si>
    <t xml:space="preserve">New customers</t>
  </si>
  <si>
    <t xml:space="preserve">Churned customers</t>
  </si>
  <si>
    <t xml:space="preserve">Ending customers</t>
  </si>
  <si>
    <t xml:space="preserve">SaaS Metrics</t>
  </si>
  <si>
    <t xml:space="preserve">The metrics a growth capital or private credit investor tests first. All derived from the Operating Forecast.</t>
  </si>
  <si>
    <t xml:space="preserve">CAC payback (months)</t>
  </si>
  <si>
    <t xml:space="preserve">Burn multiple</t>
  </si>
  <si>
    <t xml:space="preserve">Rule of 40</t>
  </si>
  <si>
    <t xml:space="preserve">Average contract value (USD thousands)</t>
  </si>
  <si>
    <t xml:space="preserve">Revenue per customer (USD thousands)</t>
  </si>
  <si>
    <t xml:space="preserve">Where this case is strong: net revenue retention above 100 percent means the installed base grows without new logos, and the burn multiple improves every year. Where it is weak: Rule of 40 never reaches 40 inside the forecast, and gross retention of 88 percent means 12 percent of the base is lost annually. Gross retention is the single assumption most worth challenging in diligence.</t>
  </si>
  <si>
    <t xml:space="preserve">Capital Structures</t>
  </si>
  <si>
    <t xml:space="preserve">The same capital requirement under three structures. The operating forecast is identical in every case.</t>
  </si>
  <si>
    <t xml:space="preserve">Term</t>
  </si>
  <si>
    <t xml:space="preserve">Blended capital</t>
  </si>
  <si>
    <t xml:space="preserve">Total capital raised</t>
  </si>
  <si>
    <t xml:space="preserve">Equity component</t>
  </si>
  <si>
    <t xml:space="preserve">Debt component</t>
  </si>
  <si>
    <t xml:space="preserve">Original issue discount rate</t>
  </si>
  <si>
    <t xml:space="preserve">Original issue discount cost</t>
  </si>
  <si>
    <t xml:space="preserve">Net proceeds at close</t>
  </si>
  <si>
    <t xml:space="preserve">Less existing debt refinanced</t>
  </si>
  <si>
    <t xml:space="preserve">Cash at close</t>
  </si>
  <si>
    <t xml:space="preserve">Ownership</t>
  </si>
  <si>
    <t xml:space="preserve">Pre-money valuation</t>
  </si>
  <si>
    <t xml:space="preserve">Post-money valuation</t>
  </si>
  <si>
    <t xml:space="preserve">Investor ownership</t>
  </si>
  <si>
    <t xml:space="preserve">Founder and existing holder dilution</t>
  </si>
  <si>
    <t xml:space="preserve">Debt terms</t>
  </si>
  <si>
    <t xml:space="preserve">Annual amortisation (% of principal)</t>
  </si>
  <si>
    <t xml:space="preserve">Uses are held constant across all structures. USD 3.0 million refinances existing debt. Product development, enterprise sales hiring, international expansion, and working capital are embedded in the operating forecast and therefore in cumulative cash burn. Any residual capital is a liquidity and strategic reserve, not a separately modeled acquisition spend.</t>
  </si>
  <si>
    <t xml:space="preserve">Capital sizing bridge - selected blend</t>
  </si>
  <si>
    <t xml:space="preserve">Use / requirement</t>
  </si>
  <si>
    <t xml:space="preserve">Formula basis</t>
  </si>
  <si>
    <t xml:space="preserve">USD millions</t>
  </si>
  <si>
    <t xml:space="preserve">Interpretation</t>
  </si>
  <si>
    <t xml:space="preserve">Existing debt refinanced</t>
  </si>
  <si>
    <t xml:space="preserve">At close</t>
  </si>
  <si>
    <t xml:space="preserve">Required</t>
  </si>
  <si>
    <t xml:space="preserve">Base case cumulative operating burn</t>
  </si>
  <si>
    <t xml:space="preserve">Five-year unlevered FCF</t>
  </si>
  <si>
    <t xml:space="preserve">Base case debt service</t>
  </si>
  <si>
    <t xml:space="preserve">Cash interest + amortisation</t>
  </si>
  <si>
    <t xml:space="preserve">Minimum ending cash</t>
  </si>
  <si>
    <t xml:space="preserve">Liquidity covenant</t>
  </si>
  <si>
    <t xml:space="preserve">Less beginning cash</t>
  </si>
  <si>
    <t xml:space="preserve">Existing liquidity</t>
  </si>
  <si>
    <t xml:space="preserve">Funding source</t>
  </si>
  <si>
    <t xml:space="preserve">OID / financing friction</t>
  </si>
  <si>
    <t xml:space="preserve">Selected facility OID</t>
  </si>
  <si>
    <t xml:space="preserve">Base case gross capital required</t>
  </si>
  <si>
    <t xml:space="preserve">Formula-derived minimum</t>
  </si>
  <si>
    <t xml:space="preserve">Sizing output</t>
  </si>
  <si>
    <t xml:space="preserve">Selected capital plan</t>
  </si>
  <si>
    <t xml:space="preserve">Plan</t>
  </si>
  <si>
    <t xml:space="preserve">Base case excess headroom</t>
  </si>
  <si>
    <t xml:space="preserve">Raised less required</t>
  </si>
  <si>
    <t xml:space="preserve">Headroom</t>
  </si>
  <si>
    <t xml:space="preserve">Downside gross capital required</t>
  </si>
  <si>
    <t xml:space="preserve">Downside burn substituted</t>
  </si>
  <si>
    <t xml:space="preserve">Stress sizing</t>
  </si>
  <si>
    <t xml:space="preserve">Downside funding shortfall</t>
  </si>
  <si>
    <t xml:space="preserve">Required less raised</t>
  </si>
  <si>
    <t xml:space="preserve">Stress gap</t>
  </si>
  <si>
    <t xml:space="preserve">Growth Equity Case</t>
  </si>
  <si>
    <t xml:space="preserve">USD 20 million of primary equity. No leverage. The safest structure and the most expensive in ownership terms.</t>
  </si>
  <si>
    <t xml:space="preserve">Cash roll forward</t>
  </si>
  <si>
    <t xml:space="preserve">Opening cash</t>
  </si>
  <si>
    <t xml:space="preserve">Cash interest</t>
  </si>
  <si>
    <t xml:space="preserve">Amortisation</t>
  </si>
  <si>
    <t xml:space="preserve">Closing cash</t>
  </si>
  <si>
    <t xml:space="preserve">Minimum cash covenant</t>
  </si>
  <si>
    <t xml:space="preserve">Covenant headroom</t>
  </si>
  <si>
    <t xml:space="preserve">Covenant status</t>
  </si>
  <si>
    <t xml:space="preserve">Runway (months at current burn)</t>
  </si>
  <si>
    <t xml:space="preserve">Exit and returns</t>
  </si>
  <si>
    <t xml:space="preserve">Year 5 ending ARR</t>
  </si>
  <si>
    <t xml:space="preserve">Exit enterprise value</t>
  </si>
  <si>
    <t xml:space="preserve">Plus year 5 cash</t>
  </si>
  <si>
    <t xml:space="preserve">Less year 5 debt</t>
  </si>
  <si>
    <t xml:space="preserve">Exit equity value</t>
  </si>
  <si>
    <t xml:space="preserve">Equity investor ownership</t>
  </si>
  <si>
    <t xml:space="preserve">Equity investor proceeds at exit</t>
  </si>
  <si>
    <t xml:space="preserve">Equity investor IRR</t>
  </si>
  <si>
    <t xml:space="preserve">Private Credit Case</t>
  </si>
  <si>
    <t xml:space="preserve">USD 20 million senior secured. No dilution, and the company cannot service it from operating cash flow.</t>
  </si>
  <si>
    <t xml:space="preserve">Debt schedule</t>
  </si>
  <si>
    <t xml:space="preserve">Opening balance</t>
  </si>
  <si>
    <t xml:space="preserve">PIK interest</t>
  </si>
  <si>
    <t xml:space="preserve">Debt service</t>
  </si>
  <si>
    <t xml:space="preserve">Closing balance</t>
  </si>
  <si>
    <t xml:space="preserve">Debt to ending ARR</t>
  </si>
  <si>
    <t xml:space="preserve">Interest coverage (EBITDA / cash interest)</t>
  </si>
  <si>
    <t xml:space="preserve">Debt service coverage ratio</t>
  </si>
  <si>
    <t xml:space="preserve">Debt investor return</t>
  </si>
  <si>
    <t xml:space="preserve">Principal advanced</t>
  </si>
  <si>
    <t xml:space="preserve">Less original issue discount</t>
  </si>
  <si>
    <t xml:space="preserve">Net outlay at close</t>
  </si>
  <si>
    <t xml:space="preserve">Total cash interest received</t>
  </si>
  <si>
    <t xml:space="preserve">Total amortisation received</t>
  </si>
  <si>
    <t xml:space="preserve">Balance repaid at maturity</t>
  </si>
  <si>
    <t xml:space="preserve">Total received</t>
  </si>
  <si>
    <t xml:space="preserve">Debt investor MOIC</t>
  </si>
  <si>
    <t xml:space="preserve">Refinancing risk at maturity</t>
  </si>
  <si>
    <t xml:space="preserve">Blended Capital Case</t>
  </si>
  <si>
    <t xml:space="preserve">USD 8 million of primary equity alongside a USD 12 million senior secured facility. The recommended structure.</t>
  </si>
  <si>
    <t xml:space="preserve">Debt Schedule</t>
  </si>
  <si>
    <t xml:space="preserve">Both debt structures side by side, drawn from the case sheets. Terms are editable on the Assumptions sheet.</t>
  </si>
  <si>
    <t xml:space="preserve">Private credit: USD 20 million facility</t>
  </si>
  <si>
    <t xml:space="preserve">Interest coverage</t>
  </si>
  <si>
    <t xml:space="preserve">Blended capital: USD 12 million facility</t>
  </si>
  <si>
    <t xml:space="preserve">Interest coverage is EBITDA divided by cash interest and is negative for as long as EBITDA is negative. Debt service coverage is EBITDA less capital expenditure over total debt service. Neither ratio reaches 1.0x on the USD 20 million facility inside the forecast period, which is the arithmetic reason the all debt structure is rejected.</t>
  </si>
  <si>
    <t xml:space="preserve">Returns Analysis</t>
  </si>
  <si>
    <t xml:space="preserve">Explicit cash flows and returns for equity and debt investors under each structure.</t>
  </si>
  <si>
    <t xml:space="preserve">Equity investor cash flows (USD millions)</t>
  </si>
  <si>
    <t xml:space="preserve">Structure</t>
  </si>
  <si>
    <t xml:space="preserve">Close</t>
  </si>
  <si>
    <t xml:space="preserve">Equity investor returns</t>
  </si>
  <si>
    <t xml:space="preserve">Equity investor proceeds</t>
  </si>
  <si>
    <t xml:space="preserve">MOIC</t>
  </si>
  <si>
    <t xml:space="preserve">IRR (5 year hold)</t>
  </si>
  <si>
    <t xml:space="preserve">Debt investor returns</t>
  </si>
  <si>
    <t xml:space="preserve">Total received over five years</t>
  </si>
  <si>
    <t xml:space="preserve">Debt investor cash flows (USD millions)</t>
  </si>
  <si>
    <t xml:space="preserve">The equity investor MOIC is higher under the blended structure than under all equity, because a smaller cheque is exposed to the same enterprise value appreciation. That is the return argument for the blend. The dilution argument is stronger still, and the covenant argument is what makes the all debt structure unavailable.</t>
  </si>
  <si>
    <t xml:space="preserve">Existing holder value</t>
  </si>
  <si>
    <t xml:space="preserve">Notes</t>
  </si>
  <si>
    <t xml:space="preserve">Existing holder ownership</t>
  </si>
  <si>
    <t xml:space="preserve">Post-financing ownership</t>
  </si>
  <si>
    <t xml:space="preserve">After cash and debt</t>
  </si>
  <si>
    <t xml:space="preserve">Existing holder proceeds</t>
  </si>
  <si>
    <t xml:space="preserve">Ownership multiplied by exit equity value</t>
  </si>
  <si>
    <t xml:space="preserve">Incremental proceeds versus all equity</t>
  </si>
  <si>
    <t xml:space="preserve">Exact value retained, not dilution percentage times a common equity value</t>
  </si>
  <si>
    <t xml:space="preserve">Correction to the earlier narrative: the selected blend does not create USD 25 million of incremental value for existing holders. The exact formula-driven difference versus all equity is approximately USD 9.7 million because exit equity value differs across structures after accounting for cash and debt.</t>
  </si>
  <si>
    <t xml:space="preserve">Sensitivities</t>
  </si>
  <si>
    <t xml:space="preserve">Each table moves one driver and holds everything else constant, so the effect is attributable.</t>
  </si>
  <si>
    <t xml:space="preserve">Exit multiple sensitivity, blended capital equity investor</t>
  </si>
  <si>
    <t xml:space="preserve">Year five ARR and ending cash are held at the base case. Only the exit ARR multiple moves.</t>
  </si>
  <si>
    <t xml:space="preserve">Enterprise value</t>
  </si>
  <si>
    <t xml:space="preserve">Proceeds</t>
  </si>
  <si>
    <t xml:space="preserve">IRR</t>
  </si>
  <si>
    <t xml:space="preserve">ARR growth sensitivity</t>
  </si>
  <si>
    <t xml:space="preserve">Year one growth varies. The same annual decay applies in later years.</t>
  </si>
  <si>
    <t xml:space="preserve">Exit enterprise value at base multiple</t>
  </si>
  <si>
    <t xml:space="preserve">Retention sensitivity</t>
  </si>
  <si>
    <t xml:space="preserve">Net revenue retention varies while the ARR growth target is held fixed, so lower retention simply raises the New ARR the sales team must win.</t>
  </si>
  <si>
    <t xml:space="preserve">Year 1 New ARR required</t>
  </si>
  <si>
    <t xml:space="preserve">Increase over base case</t>
  </si>
  <si>
    <t xml:space="preserve">Required new logos</t>
  </si>
  <si>
    <t xml:space="preserve">New ARR share of gross additions</t>
  </si>
  <si>
    <t xml:space="preserve">Interest rate sensitivity, blended capital facility</t>
  </si>
  <si>
    <t xml:space="preserve">Applied to the blended facility principal. Shows where the minimum cash covenant starts to bind.</t>
  </si>
  <si>
    <t xml:space="preserve">Year 1 cash interest</t>
  </si>
  <si>
    <t xml:space="preserve">Five year cash interest</t>
  </si>
  <si>
    <t xml:space="preserve">Year 5 closing cash</t>
  </si>
  <si>
    <t xml:space="preserve">Break even analysis</t>
  </si>
  <si>
    <t xml:space="preserve">At what point the cost structure stops consuming cash.</t>
  </si>
  <si>
    <t xml:space="preserve">Year 5 operating expenses as a percentage of revenue</t>
  </si>
  <si>
    <t xml:space="preserve">Contribution margin at the year 5 cost structure</t>
  </si>
  <si>
    <t xml:space="preserve">First year of positive EBITDA</t>
  </si>
  <si>
    <t xml:space="preserve">First year of positive unlevered free cash flow</t>
  </si>
  <si>
    <t xml:space="preserve">Cumulative unlevered free cash flow over five years</t>
  </si>
  <si>
    <t xml:space="preserve">Cumulative cash burn before financing</t>
  </si>
  <si>
    <t xml:space="preserve">Equity / debt mix sensitivity</t>
  </si>
  <si>
    <t xml:space="preserve">Uses selected blended debt terms for every mixed structure. Shows the trade-off between dilution, base-case liquidity, downside liquidity, and existing holder value.</t>
  </si>
  <si>
    <t xml:space="preserve">Equity</t>
  </si>
  <si>
    <t xml:space="preserve">Debt</t>
  </si>
  <si>
    <t xml:space="preserve">Dilution</t>
  </si>
  <si>
    <t xml:space="preserve">Base Y5 cash</t>
  </si>
  <si>
    <t xml:space="preserve">Downside Y5 cash</t>
  </si>
  <si>
    <t xml:space="preserve">Downside status</t>
  </si>
  <si>
    <t xml:space="preserve">Selected blend (USD 8m equity / USD 12m debt)</t>
  </si>
  <si>
    <t xml:space="preserve">First whole-dollar USD 4m-step mix with downside headroom</t>
  </si>
  <si>
    <t xml:space="preserve">Minimum equity required at USD 1m increments to preserve downside minimum cash</t>
  </si>
  <si>
    <t xml:space="preserve">First tested USD 4m-step mix preserving downside minimum cash</t>
  </si>
  <si>
    <t xml:space="preserve">Downside Case</t>
  </si>
  <si>
    <t xml:space="preserve">Lower growth, no net expansion, higher churn, thinner margin, and sales spend that does not fall. This is the test that separates the three structures.</t>
  </si>
  <si>
    <t xml:space="preserve">New ARR required</t>
  </si>
  <si>
    <t xml:space="preserve">Cash outcome under each structure</t>
  </si>
  <si>
    <t xml:space="preserve">Closing cash (USD millions)</t>
  </si>
  <si>
    <t xml:space="preserve">Survives five years</t>
  </si>
  <si>
    <t xml:space="preserve">Assessment</t>
  </si>
  <si>
    <t xml:space="preserve">This is the honest boundary of the recommendation. In the base case the blended structure is clearly best. In the downside case it survives only narrowly and breaches the minimum cash covenant, while the all debt structure fails outright and the all equity structure is comfortable. A reader who assigns a high probability to the downside should prefer more equity in the mix, and the equity component is an input on the Assumptions sheet precisely so that view can be tested.</t>
  </si>
  <si>
    <t xml:space="preserve">Model Checks</t>
  </si>
  <si>
    <t xml:space="preserve">Formula-driven integrity tests. Every check should read OK.</t>
  </si>
  <si>
    <t xml:space="preserve">All figures are hypothetical and illustrative. These checks test internal consistency, not investment validity.</t>
  </si>
  <si>
    <t xml:space="preserve">Core model integrity</t>
  </si>
  <si>
    <t xml:space="preserve">Check</t>
  </si>
  <si>
    <t xml:space="preserve">Test value</t>
  </si>
  <si>
    <t xml:space="preserve">Tolerance</t>
  </si>
  <si>
    <t xml:space="preserve">Status</t>
  </si>
  <si>
    <t xml:space="preserve">Why it matters</t>
  </si>
  <si>
    <t xml:space="preserve">Base ARR bridge</t>
  </si>
  <si>
    <t xml:space="preserve">ARR rolls correctly</t>
  </si>
  <si>
    <t xml:space="preserve">Revenue convention</t>
  </si>
  <si>
    <t xml:space="preserve">Revenue uses average ARR</t>
  </si>
  <si>
    <t xml:space="preserve">Capital structures total</t>
  </si>
  <si>
    <t xml:space="preserve">Same gross capital in each case</t>
  </si>
  <si>
    <t xml:space="preserve">Growth equity cash roll</t>
  </si>
  <si>
    <t xml:space="preserve">Cash bridge ties</t>
  </si>
  <si>
    <t xml:space="preserve">Private credit cash roll</t>
  </si>
  <si>
    <t xml:space="preserve">Blended cash roll</t>
  </si>
  <si>
    <t xml:space="preserve">Debt principal continuity</t>
  </si>
  <si>
    <t xml:space="preserve">Closing balance becomes next opening balance</t>
  </si>
  <si>
    <t xml:space="preserve">Exit equity bridge</t>
  </si>
  <si>
    <t xml:space="preserve">EV to equity value ties</t>
  </si>
  <si>
    <t xml:space="preserve">Incremental value formula ties</t>
  </si>
  <si>
    <t xml:space="preserve">Downside selected cash</t>
  </si>
  <si>
    <t xml:space="preserve">Downside cash bridge ties</t>
  </si>
  <si>
    <t xml:space="preserve">Decision guardrails</t>
  </si>
  <si>
    <t xml:space="preserve">All-debt minimum cash breach</t>
  </si>
  <si>
    <t xml:space="preserve">All-debt case should remain rejected under current assumptions</t>
  </si>
  <si>
    <t xml:space="preserve">Selected blend base headroom</t>
  </si>
  <si>
    <t xml:space="preserve">Selected blend must preserve base-case liquidity</t>
  </si>
  <si>
    <t xml:space="preserve">Selected blend downside warning</t>
  </si>
  <si>
    <t xml:space="preserve">Memo should disclose that downside breaches liquidity</t>
  </si>
  <si>
    <t xml:space="preserve">Summary outputs are formulas</t>
  </si>
  <si>
    <t xml:space="preserve">Summary should be formula-driven</t>
  </si>
  <si>
    <t xml:space="preserve">Sources and Disclosures</t>
  </si>
  <si>
    <t xml:space="preserve">What this workbook is, what it is not, and where its inputs come from.</t>
  </si>
  <si>
    <t xml:space="preserve">Hypothetical company</t>
  </si>
  <si>
    <t xml:space="preserve">Illustrative figures</t>
  </si>
  <si>
    <t xml:space="preserve">All operating, financial, and transaction assumptions in this workbook are illustrative. They do not represent an actual company, an actual financing, or an investment recommendation. Every output sheet carries the line: All figures are hypothetical and illustrative.</t>
  </si>
  <si>
    <t xml:space="preserve">Project disclosure</t>
  </si>
  <si>
    <t xml:space="preserve">This is an independent work sample built by Sahil Modi. It is not affiliated with or endorsed by any investment firm. The private company universe published alongside this model is based on dated public sources, and missing information there is identified as not publicly disclosed.</t>
  </si>
  <si>
    <t xml:space="preserve">Source of the assumptions</t>
  </si>
  <si>
    <t xml:space="preserve">The assumptions were chosen to represent a plausible mid stage B2B enterprise SaaS company at the point where a growth financing decision becomes unavoidable: roughly USD 12 million of ARR, growth in the low thirties, net revenue retention above 100 percent, gross retention in the high eighties, gross margin near 80 percent, and negative EBITDA. They are not drawn from any real company.</t>
  </si>
  <si>
    <t xml:space="preserve">Relationship to the company universe</t>
  </si>
  <si>
    <t xml:space="preserve">No company in the real private company universe appears in this workbook, and this hypothetical company appears nowhere in that universe. The separation is enforced by automated tests in the repository.</t>
  </si>
  <si>
    <t xml:space="preserve">Pricing, tenor, amortisation, original issue discount, and covenant levels are illustrative and set at levels broadly consistent with senior secured growth facilities for software companies. They are not quotes and do not reflect any lender's actual terms.</t>
  </si>
  <si>
    <t xml:space="preserve">What has been deliberately excluded</t>
  </si>
  <si>
    <t xml:space="preserve">No estimate of any real company's ARR, revenue, retention, gross margin, EBITDA, burn, runway, valuation, customer concentration, debt balance, covenants, profitability, founder ownership, or exit value appears anywhere in this workbook or in the accompanying research.</t>
  </si>
  <si>
    <t xml:space="preserve">Development disclosure</t>
  </si>
  <si>
    <t xml:space="preserve">Sahil Modi designed the research framework, scoring logic, underwriting structure, and investment analysis. AI-assisted development tools were used to support coding, research organization, testing, and document production. Every company record and material claim was reviewed against dated public sources.</t>
  </si>
  <si>
    <t xml:space="preserve">Repository</t>
  </si>
  <si>
    <t xml:space="preserve">Source code, the company research records, and the script that generates this workbook are public at https://github.com/smodi13/growth-capital-origination-engine</t>
  </si>
  <si>
    <t xml:space="preserve">Contact</t>
  </si>
  <si>
    <t xml:space="preserve">Model controls</t>
  </si>
  <si>
    <t xml:space="preserve">The workbook includes a formula-driven IC Summary, capital sizing bridge, equity/debt mix sensitivity, exact existing-holder proceeds, and a Model Checks sheet. No recommendation should be relied upon unless every model check reads OK. Product, sales, international expansion, and working capital uses are embedded in the forecast; no separate acquisition use is double-counted.</t>
  </si>
  <si>
    <t xml:space="preserve">Credit framing</t>
  </si>
  <si>
    <t xml:space="preserve">The debt cases are recurring-revenue growth facilities. Minimum liquidity and debt-to-ARR are the principal sizing constraints because EBITDA is negative through year four. DSCR is shown as a risk indicator and does not become positive until year five.</t>
  </si>
</sst>
</file>

<file path=xl/styles.xml><?xml version="1.0" encoding="utf-8"?>
<styleSheet xmlns="http://schemas.openxmlformats.org/spreadsheetml/2006/main">
  <numFmts count="12">
    <numFmt numFmtId="164" formatCode="General"/>
    <numFmt numFmtId="165" formatCode="#,##0.00;\(#,##0.00\)"/>
    <numFmt numFmtId="166" formatCode="0.0%;\(0.0%\)"/>
    <numFmt numFmtId="167" formatCode="#,##0.0;[RED]\(#,##0.0\);\-"/>
    <numFmt numFmtId="168" formatCode="0.0%;[RED]\(0.0%\);\-"/>
    <numFmt numFmtId="169" formatCode="0.00\x;[RED]\(0.00&quot;x)&quot;;\-"/>
    <numFmt numFmtId="170" formatCode="#,##0"/>
    <numFmt numFmtId="171" formatCode="0.00\x"/>
    <numFmt numFmtId="172" formatCode="0.0"/>
    <numFmt numFmtId="173" formatCode="0"/>
    <numFmt numFmtId="174" formatCode="#,##0;[RED]\(#,##0\);\-"/>
    <numFmt numFmtId="175" formatCode="#,##0.00;[RED]\(#,##0.00\);\-"/>
  </numFmts>
  <fonts count="37">
    <font>
      <sz val="11"/>
      <color theme="1"/>
      <name val="Calibri"/>
      <family val="2"/>
      <charset val="1"/>
    </font>
    <font>
      <sz val="10"/>
      <name val="Arial"/>
      <family val="0"/>
    </font>
    <font>
      <sz val="10"/>
      <name val="Arial"/>
      <family val="0"/>
    </font>
    <font>
      <sz val="10"/>
      <name val="Arial"/>
      <family val="0"/>
    </font>
    <font>
      <sz val="10"/>
      <color rgb="FF0F141C"/>
      <name val="Calibri"/>
      <family val="0"/>
      <charset val="1"/>
    </font>
    <font>
      <b val="true"/>
      <sz val="10"/>
      <color rgb="FFFFFFFF"/>
      <name val="Calibri"/>
      <family val="0"/>
      <charset val="1"/>
    </font>
    <font>
      <b val="true"/>
      <sz val="10"/>
      <color rgb="FF7A4E00"/>
      <name val="Calibri"/>
      <family val="0"/>
      <charset val="1"/>
    </font>
    <font>
      <i val="true"/>
      <sz val="9"/>
      <color rgb="FF5B6878"/>
      <name val="Calibri"/>
      <family val="0"/>
      <charset val="1"/>
    </font>
    <font>
      <b val="true"/>
      <sz val="11"/>
      <color rgb="FF0F5F66"/>
      <name val="Calibri"/>
      <family val="0"/>
      <charset val="1"/>
    </font>
    <font>
      <i val="true"/>
      <sz val="10"/>
      <color rgb="FF5B6878"/>
      <name val="Calibri"/>
      <family val="0"/>
      <charset val="1"/>
    </font>
    <font>
      <b val="true"/>
      <sz val="16"/>
      <color rgb="FF0F141C"/>
      <name val="Calibri"/>
      <family val="0"/>
      <charset val="1"/>
    </font>
    <font>
      <b val="true"/>
      <sz val="10"/>
      <color rgb="FF0F141C"/>
      <name val="Calibri"/>
      <family val="0"/>
      <charset val="1"/>
    </font>
    <font>
      <b val="true"/>
      <sz val="16"/>
      <color rgb="FF0F141C"/>
      <name val="Arial"/>
      <family val="0"/>
      <charset val="1"/>
    </font>
    <font>
      <i val="true"/>
      <sz val="10"/>
      <color rgb="FF5B6878"/>
      <name val="Arial"/>
      <family val="0"/>
      <charset val="1"/>
    </font>
    <font>
      <b val="true"/>
      <sz val="11"/>
      <color rgb="FF0F5F66"/>
      <name val="Arial"/>
      <family val="0"/>
      <charset val="1"/>
    </font>
    <font>
      <sz val="10"/>
      <color rgb="FF0F141C"/>
      <name val="Arial"/>
      <family val="0"/>
      <charset val="1"/>
    </font>
    <font>
      <b val="true"/>
      <sz val="9"/>
      <color rgb="FF0F141C"/>
      <name val="Arial"/>
      <family val="0"/>
      <charset val="1"/>
    </font>
    <font>
      <sz val="8"/>
      <color rgb="FFA64444"/>
      <name val="Arial"/>
      <family val="0"/>
      <charset val="1"/>
    </font>
    <font>
      <b val="true"/>
      <sz val="18"/>
      <color rgb="FF172033"/>
      <name val="Arial"/>
      <family val="0"/>
      <charset val="1"/>
    </font>
    <font>
      <sz val="11"/>
      <color theme="1"/>
      <name val="Arial"/>
      <family val="0"/>
      <charset val="1"/>
    </font>
    <font>
      <i val="true"/>
      <sz val="9"/>
      <color rgb="FF667085"/>
      <name val="Arial"/>
      <family val="0"/>
      <charset val="1"/>
    </font>
    <font>
      <b val="true"/>
      <sz val="9"/>
      <color rgb="FFA64444"/>
      <name val="Arial"/>
      <family val="0"/>
      <charset val="1"/>
    </font>
    <font>
      <b val="true"/>
      <sz val="10"/>
      <color rgb="FFFFFFFF"/>
      <name val="Arial"/>
      <family val="0"/>
      <charset val="1"/>
    </font>
    <font>
      <sz val="8"/>
      <color rgb="FF667085"/>
      <name val="Arial"/>
      <family val="0"/>
      <charset val="1"/>
    </font>
    <font>
      <b val="true"/>
      <sz val="9"/>
      <color rgb="FF008000"/>
      <name val="Arial"/>
      <family val="0"/>
      <charset val="1"/>
    </font>
    <font>
      <b val="true"/>
      <sz val="8"/>
      <color rgb="FFFFFFFF"/>
      <name val="Arial"/>
      <family val="0"/>
      <charset val="1"/>
    </font>
    <font>
      <sz val="9"/>
      <color rgb="FF0F141C"/>
      <name val="Arial"/>
      <family val="0"/>
      <charset val="1"/>
    </font>
    <font>
      <sz val="9"/>
      <color rgb="FF008000"/>
      <name val="Arial"/>
      <family val="0"/>
      <charset val="1"/>
    </font>
    <font>
      <b val="true"/>
      <i val="true"/>
      <sz val="10"/>
      <color rgb="FF9C4221"/>
      <name val="Arial"/>
      <family val="0"/>
      <charset val="1"/>
    </font>
    <font>
      <sz val="9"/>
      <color rgb="FF0000FF"/>
      <name val="Arial"/>
      <family val="0"/>
      <charset val="1"/>
    </font>
    <font>
      <i val="true"/>
      <sz val="9"/>
      <color rgb="FF5B6878"/>
      <name val="Arial"/>
      <family val="0"/>
      <charset val="1"/>
    </font>
    <font>
      <b val="true"/>
      <sz val="9"/>
      <color rgb="FF1F7A7A"/>
      <name val="Arial"/>
      <family val="0"/>
      <charset val="1"/>
    </font>
    <font>
      <i val="true"/>
      <sz val="8"/>
      <color rgb="FF667085"/>
      <name val="Arial"/>
      <family val="0"/>
      <charset val="1"/>
    </font>
    <font>
      <sz val="10"/>
      <name val="Arial"/>
      <family val="2"/>
    </font>
    <font>
      <b val="true"/>
      <sz val="10"/>
      <color rgb="FF7A4E00"/>
      <name val="Arial"/>
      <family val="0"/>
      <charset val="1"/>
    </font>
    <font>
      <b val="true"/>
      <sz val="10"/>
      <color rgb="FF0F141C"/>
      <name val="Arial"/>
      <family val="0"/>
      <charset val="1"/>
    </font>
    <font>
      <sz val="9"/>
      <color rgb="FF666666"/>
      <name val="Arial"/>
      <family val="0"/>
      <charset val="1"/>
    </font>
  </fonts>
  <fills count="12">
    <fill>
      <patternFill patternType="none"/>
    </fill>
    <fill>
      <patternFill patternType="gray125"/>
    </fill>
    <fill>
      <patternFill patternType="solid">
        <fgColor rgb="FF1A2230"/>
        <bgColor rgb="FF172033"/>
      </patternFill>
    </fill>
    <fill>
      <patternFill patternType="solid">
        <fgColor rgb="FFFFF7E0"/>
        <bgColor rgb="FFFFF6DF"/>
      </patternFill>
    </fill>
    <fill>
      <patternFill patternType="solid">
        <fgColor rgb="FFE8EEF3"/>
        <bgColor rgb="FFEAF2FB"/>
      </patternFill>
    </fill>
    <fill>
      <patternFill patternType="solid">
        <fgColor rgb="FFFBECEC"/>
        <bgColor rgb="FFFDE2E2"/>
      </patternFill>
    </fill>
    <fill>
      <patternFill patternType="solid">
        <fgColor rgb="FF172033"/>
        <bgColor rgb="FF1A2230"/>
      </patternFill>
    </fill>
    <fill>
      <patternFill patternType="solid">
        <fgColor rgb="FFEAF2FB"/>
        <bgColor rgb="FFE8F4F3"/>
      </patternFill>
    </fill>
    <fill>
      <patternFill patternType="solid">
        <fgColor rgb="FFF3F5F7"/>
        <bgColor rgb="FFEAF5EF"/>
      </patternFill>
    </fill>
    <fill>
      <patternFill patternType="solid">
        <fgColor rgb="FFE8F4F3"/>
        <bgColor rgb="FFEAF5EF"/>
      </patternFill>
    </fill>
    <fill>
      <patternFill patternType="solid">
        <fgColor rgb="FFFFF6DF"/>
        <bgColor rgb="FFFFF7E0"/>
      </patternFill>
    </fill>
    <fill>
      <patternFill patternType="solid">
        <fgColor rgb="FFEAF5EF"/>
        <bgColor rgb="FFE8F4F3"/>
      </patternFill>
    </fill>
  </fills>
  <borders count="6">
    <border diagonalUp="false" diagonalDown="false">
      <left/>
      <right/>
      <top/>
      <bottom/>
      <diagonal/>
    </border>
    <border diagonalUp="false" diagonalDown="false">
      <left/>
      <right/>
      <top/>
      <bottom style="medium">
        <color rgb="FF8895A5"/>
      </bottom>
      <diagonal/>
    </border>
    <border diagonalUp="false" diagonalDown="false">
      <left style="thin">
        <color rgb="FFC9D2DC"/>
      </left>
      <right style="thin">
        <color rgb="FFC9D2DC"/>
      </right>
      <top style="thin">
        <color rgb="FFC9D2DC"/>
      </top>
      <bottom style="thin">
        <color rgb="FFC9D2DC"/>
      </bottom>
      <diagonal/>
    </border>
    <border diagonalUp="false" diagonalDown="false">
      <left/>
      <right/>
      <top/>
      <bottom style="thin">
        <color rgb="FFC9D2DC"/>
      </bottom>
      <diagonal/>
    </border>
    <border diagonalUp="false" diagonalDown="false">
      <left/>
      <right/>
      <top style="thin">
        <color rgb="FFC9D2DC"/>
      </top>
      <bottom style="medium">
        <color rgb="FF8895A5"/>
      </bottom>
      <diagonal/>
    </border>
    <border diagonalUp="false" diagonalDown="false">
      <left/>
      <right/>
      <top/>
      <bottom style="medium">
        <color rgb="FF172033"/>
      </bottom>
      <diagonal/>
    </border>
  </borders>
  <cellStyleXfs count="3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top"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5" fillId="2" borderId="1" applyFont="true" applyBorder="true" applyAlignment="true" applyProtection="true">
      <alignment horizontal="center" vertical="center" textRotation="0" wrapText="true" indent="0" shrinkToFit="false"/>
      <protection locked="true" hidden="false"/>
    </xf>
    <xf numFmtId="164" fontId="6" fillId="3" borderId="2" applyFont="true" applyBorder="true" applyAlignment="true" applyProtection="true">
      <alignment horizontal="right" vertical="bottom" textRotation="0" wrapText="fals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7" fillId="0" borderId="0" applyFont="true" applyBorder="true" applyAlignment="true" applyProtection="true">
      <alignment horizontal="general" vertical="top" textRotation="0" wrapText="true" indent="0" shrinkToFit="false"/>
      <protection locked="true" hidden="false"/>
    </xf>
    <xf numFmtId="164" fontId="8" fillId="0" borderId="3" applyFont="true" applyBorder="true" applyAlignment="true" applyProtection="true">
      <alignment horizontal="general" vertical="bottom" textRotation="0" wrapText="false" indent="0" shrinkToFit="false"/>
      <protection locked="true" hidden="false"/>
    </xf>
    <xf numFmtId="164" fontId="9"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4" fontId="11" fillId="4" borderId="4" applyFont="true" applyBorder="true" applyAlignment="true" applyProtection="true">
      <alignment horizontal="right" vertical="bottom" textRotation="0" wrapText="false" indent="0" shrinkToFit="false"/>
      <protection locked="true" hidden="false"/>
    </xf>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3"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left" vertical="center" textRotation="0" wrapText="true" indent="0" shrinkToFit="false"/>
      <protection locked="true" hidden="false"/>
    </xf>
    <xf numFmtId="164" fontId="17" fillId="5" borderId="0" xfId="0" applyFont="true" applyBorder="false" applyAlignment="true" applyProtection="false">
      <alignment horizontal="left" vertical="center" textRotation="0" wrapText="true" indent="0" shrinkToFit="false"/>
      <protection locked="true" hidden="false"/>
    </xf>
    <xf numFmtId="164" fontId="18" fillId="0" borderId="0" xfId="0" applyFont="true" applyBorder="true" applyAlignment="true" applyProtection="false">
      <alignment horizontal="left"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true" applyAlignment="true" applyProtection="false">
      <alignment horizontal="general" vertical="bottom" textRotation="0" wrapText="true" indent="0" shrinkToFit="false"/>
      <protection locked="true" hidden="false"/>
    </xf>
    <xf numFmtId="165" fontId="19" fillId="0" borderId="0" xfId="0" applyFont="true" applyBorder="false" applyAlignment="true" applyProtection="false">
      <alignment horizontal="general"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21" fillId="5" borderId="0" xfId="0" applyFont="true" applyBorder="true" applyAlignment="true" applyProtection="false">
      <alignment horizontal="general" vertical="bottom" textRotation="0" wrapText="true" indent="0" shrinkToFit="false"/>
      <protection locked="true" hidden="false"/>
    </xf>
    <xf numFmtId="164" fontId="22" fillId="6" borderId="0" xfId="0" applyFont="true" applyBorder="true" applyAlignment="true" applyProtection="false">
      <alignment horizontal="left" vertical="center" textRotation="0" wrapText="false" indent="0" shrinkToFit="false"/>
      <protection locked="true" hidden="false"/>
    </xf>
    <xf numFmtId="164" fontId="23" fillId="0" borderId="0" xfId="0" applyFont="true" applyBorder="true" applyAlignment="true" applyProtection="false">
      <alignment horizontal="left" vertical="center" textRotation="0" wrapText="true" indent="0" shrinkToFit="false"/>
      <protection locked="true" hidden="false"/>
    </xf>
    <xf numFmtId="167" fontId="24" fillId="7" borderId="0" xfId="0" applyFont="true" applyBorder="true" applyAlignment="true" applyProtection="false">
      <alignment horizontal="left" vertical="center" textRotation="0" wrapText="false" indent="0" shrinkToFit="false"/>
      <protection locked="true" hidden="false"/>
    </xf>
    <xf numFmtId="168" fontId="24" fillId="7" borderId="0" xfId="0" applyFont="true" applyBorder="true" applyAlignment="true" applyProtection="false">
      <alignment horizontal="left" vertical="center" textRotation="0" wrapText="false" indent="0" shrinkToFit="false"/>
      <protection locked="true" hidden="false"/>
    </xf>
    <xf numFmtId="169" fontId="24" fillId="7" borderId="0" xfId="0" applyFont="true" applyBorder="true" applyAlignment="true" applyProtection="false">
      <alignment horizontal="left" vertical="center" textRotation="0" wrapText="false" indent="0" shrinkToFit="false"/>
      <protection locked="true" hidden="false"/>
    </xf>
    <xf numFmtId="164" fontId="25" fillId="6" borderId="5" xfId="0" applyFont="true" applyBorder="true" applyAlignment="true" applyProtection="false">
      <alignment horizontal="left" vertical="center" textRotation="0" wrapText="true" indent="0" shrinkToFit="false"/>
      <protection locked="true" hidden="false"/>
    </xf>
    <xf numFmtId="164" fontId="25" fillId="6" borderId="5" xfId="0" applyFont="true" applyBorder="true" applyAlignment="true" applyProtection="false">
      <alignment horizontal="right" vertical="center" textRotation="0" wrapText="true" indent="0" shrinkToFit="false"/>
      <protection locked="true" hidden="false"/>
    </xf>
    <xf numFmtId="164" fontId="26" fillId="8" borderId="0" xfId="0" applyFont="true" applyBorder="false" applyAlignment="true" applyProtection="false">
      <alignment horizontal="left" vertical="center" textRotation="0" wrapText="true" indent="0" shrinkToFit="false"/>
      <protection locked="true" hidden="false"/>
    </xf>
    <xf numFmtId="167" fontId="27" fillId="8" borderId="0" xfId="0" applyFont="true" applyBorder="false" applyAlignment="true" applyProtection="false">
      <alignment horizontal="right" vertical="center" textRotation="0" wrapText="false" indent="0" shrinkToFit="false"/>
      <protection locked="true" hidden="false"/>
    </xf>
    <xf numFmtId="167" fontId="24" fillId="9" borderId="0" xfId="0" applyFont="true" applyBorder="false" applyAlignment="true" applyProtection="false">
      <alignment horizontal="right" vertical="center" textRotation="0" wrapText="false" indent="0" shrinkToFit="false"/>
      <protection locked="true" hidden="false"/>
    </xf>
    <xf numFmtId="164" fontId="23" fillId="8" borderId="0" xfId="0" applyFont="true" applyBorder="true" applyAlignment="true" applyProtection="false">
      <alignment horizontal="left" vertical="center" textRotation="0" wrapText="true" indent="0" shrinkToFit="false"/>
      <protection locked="true" hidden="false"/>
    </xf>
    <xf numFmtId="164" fontId="26" fillId="0" borderId="0" xfId="0" applyFont="true" applyBorder="false" applyAlignment="true" applyProtection="false">
      <alignment horizontal="left" vertical="center" textRotation="0" wrapText="true" indent="0" shrinkToFit="false"/>
      <protection locked="true" hidden="false"/>
    </xf>
    <xf numFmtId="167" fontId="27" fillId="0" borderId="0" xfId="0" applyFont="true" applyBorder="false" applyAlignment="true" applyProtection="false">
      <alignment horizontal="right" vertical="center" textRotation="0" wrapText="false" indent="0" shrinkToFit="false"/>
      <protection locked="true" hidden="false"/>
    </xf>
    <xf numFmtId="164" fontId="16" fillId="8" borderId="0" xfId="0" applyFont="true" applyBorder="false" applyAlignment="true" applyProtection="false">
      <alignment horizontal="left" vertical="center" textRotation="0" wrapText="true" indent="0" shrinkToFit="false"/>
      <protection locked="true" hidden="false"/>
    </xf>
    <xf numFmtId="168" fontId="27" fillId="8" borderId="0" xfId="0" applyFont="true" applyBorder="false" applyAlignment="true" applyProtection="false">
      <alignment horizontal="right" vertical="center" textRotation="0" wrapText="false" indent="0" shrinkToFit="false"/>
      <protection locked="true" hidden="false"/>
    </xf>
    <xf numFmtId="168" fontId="24" fillId="9" borderId="0" xfId="0" applyFont="true" applyBorder="false" applyAlignment="true" applyProtection="false">
      <alignment horizontal="right" vertical="center" textRotation="0" wrapText="false" indent="0" shrinkToFit="false"/>
      <protection locked="true" hidden="false"/>
    </xf>
    <xf numFmtId="164" fontId="27" fillId="8" borderId="0" xfId="0" applyFont="true" applyBorder="false" applyAlignment="true" applyProtection="false">
      <alignment horizontal="right" vertical="center" textRotation="0" wrapText="false" indent="0" shrinkToFit="false"/>
      <protection locked="true" hidden="false"/>
    </xf>
    <xf numFmtId="164" fontId="24" fillId="9" borderId="0" xfId="0" applyFont="true" applyBorder="false" applyAlignment="true" applyProtection="false">
      <alignment horizontal="right" vertical="center" textRotation="0" wrapText="false" indent="0" shrinkToFit="false"/>
      <protection locked="true" hidden="false"/>
    </xf>
    <xf numFmtId="169" fontId="27" fillId="0" borderId="0" xfId="0" applyFont="true" applyBorder="false" applyAlignment="true" applyProtection="false">
      <alignment horizontal="right" vertical="center" textRotation="0" wrapText="false" indent="0" shrinkToFit="false"/>
      <protection locked="true" hidden="false"/>
    </xf>
    <xf numFmtId="169" fontId="24" fillId="9" borderId="0" xfId="0" applyFont="true" applyBorder="false" applyAlignment="true" applyProtection="false">
      <alignment horizontal="right" vertical="center" textRotation="0" wrapText="false" indent="0" shrinkToFit="false"/>
      <protection locked="true" hidden="false"/>
    </xf>
    <xf numFmtId="164" fontId="26" fillId="0" borderId="0" xfId="0" applyFont="true" applyBorder="true" applyAlignment="true" applyProtection="false">
      <alignment horizontal="left" vertical="center" textRotation="0" wrapText="true" indent="0" shrinkToFit="false"/>
      <protection locked="true" hidden="false"/>
    </xf>
    <xf numFmtId="167" fontId="24" fillId="7" borderId="0" xfId="0" applyFont="true" applyBorder="false" applyAlignment="true" applyProtection="false">
      <alignment horizontal="right" vertical="center" textRotation="0" wrapText="false" indent="0" shrinkToFit="false"/>
      <protection locked="true" hidden="false"/>
    </xf>
    <xf numFmtId="164" fontId="26" fillId="10" borderId="0" xfId="0" applyFont="true" applyBorder="true" applyAlignment="true" applyProtection="false">
      <alignment horizontal="general" vertical="top" textRotation="0" wrapText="true" indent="0" shrinkToFit="false"/>
      <protection locked="true" hidden="false"/>
    </xf>
    <xf numFmtId="164" fontId="16" fillId="0" borderId="0" xfId="0" applyFont="true" applyBorder="true" applyAlignment="true" applyProtection="false">
      <alignment horizontal="left" vertical="center" textRotation="0" wrapText="true" indent="0" shrinkToFit="false"/>
      <protection locked="true" hidden="false"/>
    </xf>
    <xf numFmtId="167" fontId="24" fillId="11" borderId="0" xfId="0" applyFont="true" applyBorder="false" applyAlignment="true" applyProtection="false">
      <alignment horizontal="right" vertical="center" textRotation="0" wrapText="false" indent="0" shrinkToFit="false"/>
      <protection locked="true" hidden="false"/>
    </xf>
    <xf numFmtId="167" fontId="24" fillId="5" borderId="0" xfId="0" applyFont="true" applyBorder="false" applyAlignment="true" applyProtection="false">
      <alignment horizontal="right" vertical="center" textRotation="0" wrapText="false" indent="0" shrinkToFit="false"/>
      <protection locked="true" hidden="false"/>
    </xf>
    <xf numFmtId="164" fontId="23" fillId="8"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28" fillId="0" borderId="0"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left" vertical="center" textRotation="0" wrapText="true" indent="0" shrinkToFit="false"/>
      <protection locked="true" hidden="false"/>
    </xf>
    <xf numFmtId="165" fontId="29" fillId="10" borderId="2" xfId="0" applyFont="true" applyBorder="true" applyAlignment="true" applyProtection="false">
      <alignment horizontal="right" vertical="center" textRotation="0" wrapText="false" indent="0" shrinkToFit="false"/>
      <protection locked="true" hidden="false"/>
    </xf>
    <xf numFmtId="166" fontId="29" fillId="10" borderId="2" xfId="0" applyFont="true" applyBorder="true" applyAlignment="true" applyProtection="false">
      <alignment horizontal="right" vertical="center" textRotation="0" wrapText="false" indent="0" shrinkToFit="false"/>
      <protection locked="true" hidden="false"/>
    </xf>
    <xf numFmtId="170" fontId="29" fillId="10" borderId="2" xfId="0" applyFont="true" applyBorder="true" applyAlignment="true" applyProtection="false">
      <alignment horizontal="right" vertical="center" textRotation="0" wrapText="false" indent="0" shrinkToFit="false"/>
      <protection locked="true" hidden="false"/>
    </xf>
    <xf numFmtId="171" fontId="29" fillId="10" borderId="2" xfId="0" applyFont="true" applyBorder="true" applyAlignment="true" applyProtection="false">
      <alignment horizontal="right" vertical="center" textRotation="0" wrapText="false" indent="0" shrinkToFit="false"/>
      <protection locked="true" hidden="false"/>
    </xf>
    <xf numFmtId="164" fontId="22" fillId="2" borderId="1" xfId="0" applyFont="true" applyBorder="true" applyAlignment="true" applyProtection="false">
      <alignment horizontal="center" vertical="center" textRotation="0" wrapText="true" indent="0" shrinkToFit="false"/>
      <protection locked="true" hidden="false"/>
    </xf>
    <xf numFmtId="164" fontId="30" fillId="0" borderId="0" xfId="0" applyFont="true" applyBorder="false" applyAlignment="true" applyProtection="false">
      <alignment horizontal="general" vertical="top"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top" textRotation="0" wrapText="true" indent="0" shrinkToFit="false"/>
      <protection locked="true" hidden="false"/>
    </xf>
    <xf numFmtId="165" fontId="34" fillId="3" borderId="2" xfId="0" applyFont="true" applyBorder="true" applyAlignment="true" applyProtection="false">
      <alignment horizontal="right" vertical="bottom" textRotation="0" wrapText="false" indent="0" shrinkToFit="false"/>
      <protection locked="true" hidden="false"/>
    </xf>
    <xf numFmtId="165" fontId="15" fillId="0"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right" vertical="bottom" textRotation="0" wrapText="false" indent="0" shrinkToFit="false"/>
      <protection locked="true" hidden="false"/>
    </xf>
    <xf numFmtId="166" fontId="15" fillId="0" borderId="0" xfId="0" applyFont="true" applyBorder="false" applyAlignment="true" applyProtection="false">
      <alignment horizontal="right" vertical="bottom" textRotation="0" wrapText="false" indent="0" shrinkToFit="false"/>
      <protection locked="true" hidden="false"/>
    </xf>
    <xf numFmtId="165" fontId="35" fillId="4" borderId="4" xfId="0" applyFont="true" applyBorder="true" applyAlignment="true" applyProtection="false">
      <alignment horizontal="right" vertical="bottom" textRotation="0" wrapText="false" indent="0" shrinkToFit="false"/>
      <protection locked="true" hidden="false"/>
    </xf>
    <xf numFmtId="170" fontId="34" fillId="3" borderId="2" xfId="0" applyFont="true" applyBorder="true" applyAlignment="true" applyProtection="false">
      <alignment horizontal="right" vertical="bottom" textRotation="0" wrapText="false" indent="0" shrinkToFit="false"/>
      <protection locked="true" hidden="false"/>
    </xf>
    <xf numFmtId="170" fontId="15"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true" applyAlignment="true" applyProtection="false">
      <alignment horizontal="general" vertical="top" textRotation="0" wrapText="true" indent="0" shrinkToFit="false"/>
      <protection locked="true" hidden="false"/>
    </xf>
    <xf numFmtId="164" fontId="15" fillId="4" borderId="0" xfId="0" applyFont="true" applyBorder="false" applyAlignment="true" applyProtection="false">
      <alignment horizontal="left" vertical="center" textRotation="0" wrapText="true" indent="0" shrinkToFit="false"/>
      <protection locked="true" hidden="false"/>
    </xf>
    <xf numFmtId="170" fontId="35" fillId="4" borderId="4" xfId="0" applyFont="true" applyBorder="true" applyAlignment="true" applyProtection="false">
      <alignment horizontal="right" vertical="bottom" textRotation="0" wrapText="false" indent="0" shrinkToFit="false"/>
      <protection locked="true" hidden="false"/>
    </xf>
    <xf numFmtId="172" fontId="15" fillId="0" borderId="0" xfId="0" applyFont="true" applyBorder="false" applyAlignment="true" applyProtection="false">
      <alignment horizontal="right" vertical="bottom" textRotation="0" wrapText="false" indent="0" shrinkToFit="false"/>
      <protection locked="true" hidden="false"/>
    </xf>
    <xf numFmtId="171" fontId="15" fillId="0" borderId="0" xfId="0" applyFont="true" applyBorder="false" applyAlignment="true" applyProtection="false">
      <alignment horizontal="right" vertical="bottom" textRotation="0" wrapText="false" indent="0" shrinkToFit="false"/>
      <protection locked="true" hidden="false"/>
    </xf>
    <xf numFmtId="173" fontId="35" fillId="4" borderId="4" xfId="0" applyFont="true" applyBorder="true" applyAlignment="true" applyProtection="false">
      <alignment horizontal="right" vertical="bottom" textRotation="0" wrapText="false" indent="0" shrinkToFit="false"/>
      <protection locked="true" hidden="false"/>
    </xf>
    <xf numFmtId="166" fontId="35" fillId="4" borderId="4" xfId="0" applyFont="true" applyBorder="true" applyAlignment="true" applyProtection="false">
      <alignment horizontal="right" vertical="bottom" textRotation="0" wrapText="false" indent="0" shrinkToFit="false"/>
      <protection locked="true" hidden="false"/>
    </xf>
    <xf numFmtId="164" fontId="23" fillId="8"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7" fontId="24" fillId="8" borderId="0" xfId="0" applyFont="true" applyBorder="false" applyAlignment="true" applyProtection="false">
      <alignment horizontal="right" vertical="center" textRotation="0" wrapText="false" indent="0" shrinkToFit="false"/>
      <protection locked="true" hidden="false"/>
    </xf>
    <xf numFmtId="171" fontId="35" fillId="4" borderId="4" xfId="0" applyFont="true" applyBorder="true" applyAlignment="true" applyProtection="false">
      <alignment horizontal="right" vertical="bottom" textRotation="0" wrapText="false" indent="0" shrinkToFit="false"/>
      <protection locked="true" hidden="false"/>
    </xf>
    <xf numFmtId="164" fontId="35" fillId="4" borderId="4" xfId="0" applyFont="true" applyBorder="true" applyAlignment="true" applyProtection="false">
      <alignment horizontal="right" vertical="bottom" textRotation="0" wrapText="false" indent="0" shrinkToFit="false"/>
      <protection locked="true" hidden="false"/>
    </xf>
    <xf numFmtId="168" fontId="27" fillId="0" borderId="0" xfId="0" applyFont="true" applyBorder="false" applyAlignment="true" applyProtection="false">
      <alignment horizontal="right" vertical="center" textRotation="0" wrapText="false" indent="0" shrinkToFit="false"/>
      <protection locked="true" hidden="false"/>
    </xf>
    <xf numFmtId="167" fontId="24" fillId="0" borderId="0" xfId="0" applyFont="true" applyBorder="false" applyAlignment="true" applyProtection="false">
      <alignment horizontal="right" vertical="center" textRotation="0" wrapText="false" indent="0" shrinkToFit="false"/>
      <protection locked="true" hidden="false"/>
    </xf>
    <xf numFmtId="164" fontId="17" fillId="5" borderId="0" xfId="0" applyFont="true" applyBorder="true" applyAlignment="true" applyProtection="false">
      <alignment horizontal="general" vertical="top" textRotation="0" wrapText="true" indent="0" shrinkToFit="false"/>
      <protection locked="true" hidden="false"/>
    </xf>
    <xf numFmtId="171" fontId="34" fillId="3" borderId="2" xfId="0" applyFont="true" applyBorder="true" applyAlignment="true" applyProtection="false">
      <alignment horizontal="right" vertical="bottom" textRotation="0" wrapText="false" indent="0" shrinkToFit="false"/>
      <protection locked="true" hidden="false"/>
    </xf>
    <xf numFmtId="166" fontId="34" fillId="3" borderId="2" xfId="0" applyFont="true" applyBorder="true" applyAlignment="true" applyProtection="false">
      <alignment horizontal="right" vertical="bottom" textRotation="0" wrapText="false" indent="0" shrinkToFit="false"/>
      <protection locked="true" hidden="false"/>
    </xf>
    <xf numFmtId="174" fontId="26" fillId="4" borderId="4" xfId="0" applyFont="true" applyBorder="true" applyAlignment="true" applyProtection="false">
      <alignment horizontal="right" vertical="bottom" textRotation="0" wrapText="false" indent="0" shrinkToFit="false"/>
      <protection locked="true" hidden="false"/>
    </xf>
    <xf numFmtId="168" fontId="26" fillId="0" borderId="0" xfId="0" applyFont="true" applyBorder="false" applyAlignment="true" applyProtection="false">
      <alignment horizontal="general" vertical="bottom" textRotation="0" wrapText="false" indent="0" shrinkToFit="false"/>
      <protection locked="true" hidden="false"/>
    </xf>
    <xf numFmtId="167" fontId="29" fillId="10" borderId="0" xfId="0" applyFont="true" applyBorder="false" applyAlignment="true" applyProtection="false">
      <alignment horizontal="right" vertical="center" textRotation="0" wrapText="false" indent="0" shrinkToFit="false"/>
      <protection locked="true" hidden="false"/>
    </xf>
    <xf numFmtId="167" fontId="26" fillId="0" borderId="0" xfId="0" applyFont="true" applyBorder="false" applyAlignment="true" applyProtection="false">
      <alignment horizontal="right" vertical="center" textRotation="0" wrapText="false" indent="0" shrinkToFit="false"/>
      <protection locked="true" hidden="false"/>
    </xf>
    <xf numFmtId="168" fontId="26" fillId="0" borderId="0" xfId="0" applyFont="true" applyBorder="false" applyAlignment="true" applyProtection="false">
      <alignment horizontal="right" vertical="center" textRotation="0" wrapText="false" indent="0" shrinkToFit="false"/>
      <protection locked="true" hidden="false"/>
    </xf>
    <xf numFmtId="164" fontId="26" fillId="0" borderId="0" xfId="0" applyFont="true" applyBorder="false" applyAlignment="true" applyProtection="false">
      <alignment horizontal="right" vertical="center" textRotation="0" wrapText="false" indent="0" shrinkToFit="false"/>
      <protection locked="true" hidden="false"/>
    </xf>
    <xf numFmtId="167" fontId="29" fillId="9" borderId="0" xfId="0" applyFont="true" applyBorder="false" applyAlignment="true" applyProtection="false">
      <alignment horizontal="right" vertical="center" textRotation="0" wrapText="false" indent="0" shrinkToFit="false"/>
      <protection locked="true" hidden="false"/>
    </xf>
    <xf numFmtId="167" fontId="26" fillId="9" borderId="0" xfId="0" applyFont="true" applyBorder="false" applyAlignment="true" applyProtection="false">
      <alignment horizontal="right" vertical="center" textRotation="0" wrapText="false" indent="0" shrinkToFit="false"/>
      <protection locked="true" hidden="false"/>
    </xf>
    <xf numFmtId="168" fontId="26" fillId="9" borderId="0" xfId="0" applyFont="true" applyBorder="false" applyAlignment="true" applyProtection="false">
      <alignment horizontal="right" vertical="center" textRotation="0" wrapText="false" indent="0" shrinkToFit="false"/>
      <protection locked="true" hidden="false"/>
    </xf>
    <xf numFmtId="164" fontId="26" fillId="9" borderId="0" xfId="0" applyFont="true" applyBorder="false" applyAlignment="true" applyProtection="false">
      <alignment horizontal="right" vertical="center" textRotation="0" wrapText="false" indent="0" shrinkToFit="false"/>
      <protection locked="true" hidden="false"/>
    </xf>
    <xf numFmtId="167" fontId="26" fillId="11" borderId="0" xfId="0" applyFont="true" applyBorder="false" applyAlignment="true" applyProtection="false">
      <alignment horizontal="right" vertical="center" textRotation="0" wrapText="false" indent="0" shrinkToFit="false"/>
      <protection locked="true" hidden="false"/>
    </xf>
    <xf numFmtId="168" fontId="26" fillId="11" borderId="0" xfId="0" applyFont="true" applyBorder="false" applyAlignment="true" applyProtection="false">
      <alignment horizontal="right" vertical="center" textRotation="0" wrapText="false" indent="0" shrinkToFit="false"/>
      <protection locked="true" hidden="false"/>
    </xf>
    <xf numFmtId="164" fontId="26" fillId="11" borderId="0" xfId="0" applyFont="true" applyBorder="false" applyAlignment="true" applyProtection="false">
      <alignment horizontal="right" vertical="center" textRotation="0" wrapText="false" indent="0" shrinkToFit="false"/>
      <protection locked="true" hidden="false"/>
    </xf>
    <xf numFmtId="167" fontId="16" fillId="7" borderId="0" xfId="0" applyFont="true" applyBorder="false" applyAlignment="true" applyProtection="false">
      <alignment horizontal="right" vertical="center" textRotation="0" wrapText="false" indent="0" shrinkToFit="false"/>
      <protection locked="true" hidden="false"/>
    </xf>
    <xf numFmtId="167" fontId="16" fillId="11" borderId="0" xfId="0" applyFont="true" applyBorder="false" applyAlignment="true" applyProtection="false">
      <alignment horizontal="right" vertical="center" textRotation="0" wrapText="false" indent="0" shrinkToFit="false"/>
      <protection locked="true" hidden="false"/>
    </xf>
    <xf numFmtId="164" fontId="21" fillId="5" borderId="0" xfId="0" applyFont="true" applyBorder="true" applyAlignment="true" applyProtection="false">
      <alignment horizontal="left" vertical="center" textRotation="0" wrapText="true" indent="0" shrinkToFit="false"/>
      <protection locked="true" hidden="false"/>
    </xf>
    <xf numFmtId="175" fontId="26" fillId="8" borderId="0" xfId="0" applyFont="true" applyBorder="false" applyAlignment="true" applyProtection="false">
      <alignment horizontal="right" vertical="center" textRotation="0" wrapText="false" indent="0" shrinkToFit="false"/>
      <protection locked="true" hidden="false"/>
    </xf>
    <xf numFmtId="175" fontId="36" fillId="8" borderId="0" xfId="0" applyFont="true" applyBorder="false" applyAlignment="true" applyProtection="false">
      <alignment horizontal="right" vertical="center" textRotation="0" wrapText="false" indent="0" shrinkToFit="false"/>
      <protection locked="true" hidden="false"/>
    </xf>
    <xf numFmtId="164" fontId="16" fillId="8" borderId="0" xfId="0" applyFont="true" applyBorder="false" applyAlignment="true" applyProtection="false">
      <alignment horizontal="right" vertical="center" textRotation="0" wrapText="false" indent="0" shrinkToFit="false"/>
      <protection locked="true" hidden="false"/>
    </xf>
    <xf numFmtId="175" fontId="26" fillId="0" borderId="0" xfId="0" applyFont="true" applyBorder="false" applyAlignment="true" applyProtection="false">
      <alignment horizontal="right" vertical="center" textRotation="0" wrapText="false" indent="0" shrinkToFit="false"/>
      <protection locked="true" hidden="false"/>
    </xf>
    <xf numFmtId="175" fontId="36" fillId="0" borderId="0" xfId="0" applyFont="true" applyBorder="false" applyAlignment="true" applyProtection="false">
      <alignment horizontal="right" vertical="center"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cellXfs>
  <cellStyles count="16">
    <cellStyle name="Normal" xfId="0" builtinId="0"/>
    <cellStyle name="Comma" xfId="15" builtinId="3"/>
    <cellStyle name="Comma [0]" xfId="16" builtinId="6"/>
    <cellStyle name="Currency" xfId="17" builtinId="4"/>
    <cellStyle name="Currency [0]" xfId="18" builtinId="7"/>
    <cellStyle name="Percent" xfId="19" builtinId="5"/>
    <cellStyle name="body" xfId="20"/>
    <cellStyle name="calc" xfId="21"/>
    <cellStyle name="hdr" xfId="22"/>
    <cellStyle name="inp" xfId="23"/>
    <cellStyle name="lbl" xfId="24"/>
    <cellStyle name="note 1" xfId="25"/>
    <cellStyle name="sec" xfId="26"/>
    <cellStyle name="sub" xfId="27"/>
    <cellStyle name="title" xfId="28"/>
    <cellStyle name="tot" xfId="29"/>
  </cellStyles>
  <dxfs count="15">
    <dxf>
      <fill>
        <patternFill patternType="solid">
          <fgColor rgb="FF172033"/>
          <bgColor rgb="FF000000"/>
        </patternFill>
      </fill>
    </dxf>
    <dxf>
      <fill>
        <patternFill patternType="solid">
          <fgColor rgb="FFF3F5F7"/>
          <bgColor rgb="FF000000"/>
        </patternFill>
      </fill>
    </dxf>
    <dxf>
      <fill>
        <patternFill patternType="solid">
          <bgColor rgb="FF000000"/>
        </patternFill>
      </fill>
    </dxf>
    <dxf>
      <fill>
        <patternFill patternType="solid">
          <fgColor rgb="FF0F141C"/>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FF0000"/>
          <bgColor rgb="FF000000"/>
        </patternFill>
      </fill>
    </dxf>
    <dxf>
      <fill>
        <patternFill patternType="solid">
          <fgColor rgb="FFE8F4F3"/>
          <bgColor rgb="FF000000"/>
        </patternFill>
      </fill>
    </dxf>
    <dxf>
      <fill>
        <patternFill patternType="solid">
          <fgColor rgb="FF667085"/>
          <bgColor rgb="FF000000"/>
        </patternFill>
      </fill>
    </dxf>
    <dxf>
      <fill>
        <patternFill patternType="solid">
          <fgColor rgb="FF000000"/>
          <bgColor rgb="FF000000"/>
        </patternFill>
      </fill>
    </dxf>
    <dxf>
      <font>
        <color rgb="FF9B1C1C"/>
      </font>
    </dxf>
    <dxf>
      <font>
        <b val="1"/>
        <color rgb="FF9B1C1C"/>
      </font>
    </dxf>
    <dxf>
      <font>
        <b val="1"/>
        <color rgb="FF9B1C1C"/>
      </font>
      <fill>
        <patternFill>
          <bgColor rgb="FFFDE2E2"/>
        </patternFill>
      </fill>
    </dxf>
    <dxf>
      <font>
        <b val="1"/>
        <color rgb="FFA64444"/>
      </font>
      <fill>
        <patternFill>
          <bgColor rgb="FFFBECEC"/>
        </patternFill>
      </fill>
    </dxf>
    <dxf>
      <font>
        <b val="1"/>
        <color rgb="FF287A57"/>
      </font>
      <fill>
        <patternFill>
          <bgColor rgb="FFEAF5EF"/>
        </patternFill>
      </fill>
    </dxf>
  </dxfs>
  <colors>
    <indexedColors>
      <rgbColor rgb="FF000000"/>
      <rgbColor rgb="FFFFFFFF"/>
      <rgbColor rgb="FFFF0000"/>
      <rgbColor rgb="FF00FF00"/>
      <rgbColor rgb="FF0000FF"/>
      <rgbColor rgb="FFFFFF00"/>
      <rgbColor rgb="FFFF00FF"/>
      <rgbColor rgb="FF00FFFF"/>
      <rgbColor rgb="FF9B1C1C"/>
      <rgbColor rgb="FF008000"/>
      <rgbColor rgb="FF000080"/>
      <rgbColor rgb="FF9A6714"/>
      <rgbColor rgb="FF800080"/>
      <rgbColor rgb="FF1F7A7A"/>
      <rgbColor rgb="FFEAF2FB"/>
      <rgbColor rgb="FF666666"/>
      <rgbColor rgb="FF9999FF"/>
      <rgbColor rgb="FFA64444"/>
      <rgbColor rgb="FFFFF7E0"/>
      <rgbColor rgb="FFE8F4F3"/>
      <rgbColor rgb="FF660066"/>
      <rgbColor rgb="FFFF8080"/>
      <rgbColor rgb="FF0066CC"/>
      <rgbColor rgb="FFC9D2DC"/>
      <rgbColor rgb="FF000080"/>
      <rgbColor rgb="FFFF00FF"/>
      <rgbColor rgb="FFFFFF00"/>
      <rgbColor rgb="FF00FFFF"/>
      <rgbColor rgb="FF800080"/>
      <rgbColor rgb="FF800000"/>
      <rgbColor rgb="FF0F5F66"/>
      <rgbColor rgb="FF0000FF"/>
      <rgbColor rgb="FF00CCFF"/>
      <rgbColor rgb="FFEAF5EF"/>
      <rgbColor rgb="FFE8EEF3"/>
      <rgbColor rgb="FFFFF6DF"/>
      <rgbColor rgb="FFF3F5F7"/>
      <rgbColor rgb="FFFBECEC"/>
      <rgbColor rgb="FFCC99FF"/>
      <rgbColor rgb="FFFDE2E2"/>
      <rgbColor rgb="FF2F6BB3"/>
      <rgbColor rgb="FF33CCCC"/>
      <rgbColor rgb="FF99CC00"/>
      <rgbColor rgb="FFFFCC00"/>
      <rgbColor rgb="FFFF9900"/>
      <rgbColor rgb="FFFF6600"/>
      <rgbColor rgb="FF667085"/>
      <rgbColor rgb="FF8895A5"/>
      <rgbColor rgb="FF172033"/>
      <rgbColor rgb="FF287A57"/>
      <rgbColor rgb="FF0F141C"/>
      <rgbColor rgb="FF333300"/>
      <rgbColor rgb="FF9C4221"/>
      <rgbColor rgb="FF7A4E00"/>
      <rgbColor rgb="FF5B6878"/>
      <rgbColor rgb="FF1A22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4.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5.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108"/>
  </cols>
  <sheetData>
    <row r="1" customFormat="false" ht="19.5" hidden="false" customHeight="true" outlineLevel="0" collapsed="false">
      <c r="A1" s="2" t="s">
        <v>0</v>
      </c>
    </row>
    <row r="2" customFormat="false" ht="15" hidden="false" customHeight="true" outlineLevel="0" collapsed="false">
      <c r="A2" s="3" t="s">
        <v>1</v>
      </c>
    </row>
    <row r="4" customFormat="false" ht="30" hidden="false" customHeight="true" outlineLevel="0" collapsed="false">
      <c r="A4" s="4" t="s">
        <v>2</v>
      </c>
      <c r="B4" s="5" t="s">
        <v>3</v>
      </c>
    </row>
    <row r="5" customFormat="false" ht="39" hidden="false" customHeight="true" outlineLevel="0" collapsed="false">
      <c r="A5" s="4" t="s">
        <v>4</v>
      </c>
      <c r="B5" s="5" t="s">
        <v>5</v>
      </c>
    </row>
    <row r="6" customFormat="false" ht="39" hidden="false" customHeight="true" outlineLevel="0" collapsed="false">
      <c r="A6" s="4" t="s">
        <v>6</v>
      </c>
      <c r="B6" s="5" t="s">
        <v>7</v>
      </c>
    </row>
    <row r="7" customFormat="false" ht="39" hidden="false" customHeight="true" outlineLevel="0" collapsed="false">
      <c r="A7" s="4" t="s">
        <v>8</v>
      </c>
      <c r="B7" s="5" t="s">
        <v>9</v>
      </c>
    </row>
    <row r="8" customFormat="false" ht="39" hidden="false" customHeight="true" outlineLevel="0" collapsed="false">
      <c r="A8" s="4" t="s">
        <v>10</v>
      </c>
      <c r="B8" s="5" t="s">
        <v>11</v>
      </c>
    </row>
    <row r="9" customFormat="false" ht="51.75" hidden="false" customHeight="true" outlineLevel="0" collapsed="false">
      <c r="A9" s="4" t="s">
        <v>12</v>
      </c>
      <c r="B9" s="5" t="s">
        <v>13</v>
      </c>
    </row>
    <row r="10" customFormat="false" ht="30" hidden="false" customHeight="true" outlineLevel="0" collapsed="false">
      <c r="A10" s="4" t="s">
        <v>14</v>
      </c>
      <c r="B10" s="5" t="s">
        <v>15</v>
      </c>
    </row>
    <row r="11" customFormat="false" ht="30" hidden="false" customHeight="true" outlineLevel="0" collapsed="false">
      <c r="A11" s="4" t="s">
        <v>16</v>
      </c>
      <c r="B11" s="5" t="s">
        <v>17</v>
      </c>
    </row>
    <row r="12" customFormat="false" ht="30" hidden="false" customHeight="true" outlineLevel="0" collapsed="false">
      <c r="A12" s="4" t="s">
        <v>18</v>
      </c>
      <c r="B12" s="5" t="s">
        <v>19</v>
      </c>
    </row>
    <row r="13" customFormat="false" ht="30" hidden="false" customHeight="true" outlineLevel="0" collapsed="false">
      <c r="A13" s="4" t="s">
        <v>20</v>
      </c>
      <c r="B13" s="5" t="s">
        <v>21</v>
      </c>
    </row>
    <row r="14" customFormat="false" ht="39" hidden="false" customHeight="true" outlineLevel="0" collapsed="false">
      <c r="A14" s="4" t="s">
        <v>22</v>
      </c>
      <c r="B14" s="5" t="s">
        <v>23</v>
      </c>
    </row>
    <row r="15" customFormat="false" ht="42" hidden="false" customHeight="true" outlineLevel="0" collapsed="false">
      <c r="A15" s="6" t="s">
        <v>24</v>
      </c>
      <c r="B15" s="7" t="s">
        <v>25</v>
      </c>
    </row>
    <row r="16" customFormat="false" ht="15" hidden="false" customHeight="true" outlineLevel="0" collapsed="false">
      <c r="A16" s="4" t="s">
        <v>26</v>
      </c>
      <c r="B16" s="5" t="s">
        <v>27</v>
      </c>
    </row>
  </sheetData>
  <printOptions headings="false" gridLines="false" gridLinesSet="true" horizontalCentered="false" verticalCentered="false"/>
  <pageMargins left="0.35" right="0.35" top="0.5" bottom="0.5"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All figures are hypothetical and illustrative.&amp;R&amp;8 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6BB3"/>
    <pageSetUpPr fitToPage="true"/>
  </sheetPr>
  <dimension ref="A1:Q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4" min="2" style="1" width="14"/>
    <col collapsed="false" customWidth="true" hidden="false" outlineLevel="0" max="8" min="5" style="1" width="16"/>
    <col collapsed="false" customWidth="true" hidden="false" outlineLevel="0" max="14" min="10" style="1" width="13"/>
    <col collapsed="false" customWidth="true" hidden="false" outlineLevel="0" max="15" min="15" style="0" width="13"/>
    <col collapsed="false" customWidth="true" hidden="false" outlineLevel="0" max="17" min="16" style="1" width="13"/>
  </cols>
  <sheetData>
    <row r="1" customFormat="false" ht="18" hidden="false" customHeight="true" outlineLevel="0" collapsed="false">
      <c r="A1" s="8" t="s">
        <v>28</v>
      </c>
      <c r="B1" s="8"/>
      <c r="C1" s="8"/>
      <c r="D1" s="8"/>
      <c r="E1" s="8"/>
      <c r="F1" s="8"/>
      <c r="G1" s="8"/>
      <c r="H1" s="8"/>
      <c r="J1" s="9"/>
      <c r="K1" s="9"/>
      <c r="L1" s="9"/>
      <c r="M1" s="9"/>
      <c r="N1" s="9"/>
      <c r="P1" s="9"/>
      <c r="Q1" s="9"/>
    </row>
    <row r="2" customFormat="false" ht="18" hidden="false" customHeight="true" outlineLevel="0" collapsed="false">
      <c r="A2" s="10" t="s">
        <v>29</v>
      </c>
      <c r="B2" s="10"/>
      <c r="C2" s="10"/>
      <c r="D2" s="10"/>
      <c r="E2" s="10"/>
      <c r="F2" s="10"/>
      <c r="G2" s="10"/>
      <c r="H2" s="10"/>
      <c r="J2" s="9"/>
      <c r="K2" s="11"/>
      <c r="L2" s="11"/>
      <c r="M2" s="11"/>
      <c r="N2" s="11"/>
      <c r="P2" s="9"/>
      <c r="Q2" s="12"/>
    </row>
    <row r="3" customFormat="false" ht="27.75" hidden="false" customHeight="true" outlineLevel="0" collapsed="false">
      <c r="A3" s="13" t="s">
        <v>30</v>
      </c>
      <c r="B3" s="13"/>
      <c r="C3" s="13"/>
      <c r="D3" s="13"/>
      <c r="E3" s="13"/>
      <c r="F3" s="13"/>
      <c r="G3" s="13"/>
      <c r="H3" s="13"/>
      <c r="J3" s="9"/>
      <c r="K3" s="11"/>
      <c r="L3" s="11"/>
      <c r="M3" s="11"/>
      <c r="N3" s="11"/>
      <c r="P3" s="9"/>
      <c r="Q3" s="12"/>
    </row>
    <row r="4" customFormat="false" ht="18" hidden="false" customHeight="true" outlineLevel="0" collapsed="false">
      <c r="J4" s="9"/>
      <c r="K4" s="11"/>
      <c r="L4" s="11"/>
      <c r="M4" s="11"/>
      <c r="N4" s="11"/>
      <c r="P4" s="9"/>
      <c r="Q4" s="12"/>
    </row>
    <row r="5" customFormat="false" ht="18.75" hidden="false" customHeight="true" outlineLevel="0" collapsed="false">
      <c r="A5" s="14" t="s">
        <v>31</v>
      </c>
      <c r="B5" s="14"/>
      <c r="C5" s="14"/>
      <c r="D5" s="14"/>
      <c r="E5" s="14"/>
      <c r="F5" s="14"/>
      <c r="G5" s="14"/>
      <c r="H5" s="14"/>
      <c r="J5" s="9"/>
      <c r="K5" s="11"/>
      <c r="L5" s="11"/>
      <c r="M5" s="11"/>
      <c r="N5" s="11"/>
    </row>
    <row r="6" customFormat="false" ht="18" hidden="false" customHeight="true" outlineLevel="0" collapsed="false">
      <c r="A6" s="15" t="s">
        <v>32</v>
      </c>
      <c r="B6" s="15"/>
      <c r="C6" s="15" t="s">
        <v>33</v>
      </c>
      <c r="D6" s="15"/>
      <c r="E6" s="15" t="s">
        <v>34</v>
      </c>
      <c r="F6" s="15"/>
      <c r="G6" s="15" t="s">
        <v>35</v>
      </c>
      <c r="H6" s="15"/>
      <c r="J6" s="9"/>
      <c r="K6" s="11"/>
      <c r="L6" s="11"/>
      <c r="M6" s="11"/>
      <c r="N6" s="11"/>
    </row>
    <row r="7" customFormat="false" ht="18" hidden="false" customHeight="true" outlineLevel="0" collapsed="false">
      <c r="A7" s="16" t="n">
        <f aca="false">Assumptions!B6</f>
        <v>12</v>
      </c>
      <c r="B7" s="16"/>
      <c r="C7" s="17" t="n">
        <f aca="false">Assumptions!B7</f>
        <v>0.3</v>
      </c>
      <c r="D7" s="17"/>
      <c r="E7" s="17" t="n">
        <f aca="false">Assumptions!B9</f>
        <v>1.1</v>
      </c>
      <c r="F7" s="17"/>
      <c r="G7" s="17" t="n">
        <f aca="false">Assumptions!B10</f>
        <v>0.88</v>
      </c>
      <c r="H7" s="17"/>
    </row>
    <row r="8" customFormat="false" ht="18" hidden="false" customHeight="true" outlineLevel="0" collapsed="false">
      <c r="A8" s="15" t="s">
        <v>36</v>
      </c>
      <c r="B8" s="15"/>
      <c r="C8" s="15" t="s">
        <v>37</v>
      </c>
      <c r="D8" s="15"/>
      <c r="E8" s="15" t="s">
        <v>38</v>
      </c>
      <c r="F8" s="15"/>
      <c r="G8" s="15" t="s">
        <v>39</v>
      </c>
      <c r="H8" s="15"/>
    </row>
    <row r="9" customFormat="false" ht="18" hidden="false" customHeight="true" outlineLevel="0" collapsed="false">
      <c r="A9" s="17" t="n">
        <f aca="false">Assumptions!B11</f>
        <v>0.78</v>
      </c>
      <c r="B9" s="17"/>
      <c r="C9" s="16" t="n">
        <f aca="false">Assumptions!B26</f>
        <v>20</v>
      </c>
      <c r="D9" s="16"/>
      <c r="E9" s="18" t="n">
        <f aca="false">Assumptions!B28</f>
        <v>8</v>
      </c>
      <c r="F9" s="18"/>
      <c r="G9" s="18" t="n">
        <f aca="false">Assumptions!B29</f>
        <v>7</v>
      </c>
      <c r="H9" s="18"/>
    </row>
    <row r="10" customFormat="false" ht="18" hidden="false" customHeight="true" outlineLevel="0" collapsed="false"/>
    <row r="11" customFormat="false" ht="18.75" hidden="false" customHeight="true" outlineLevel="0" collapsed="false">
      <c r="A11" s="14" t="s">
        <v>40</v>
      </c>
      <c r="B11" s="14"/>
      <c r="C11" s="14"/>
      <c r="D11" s="14"/>
      <c r="E11" s="14"/>
      <c r="F11" s="14"/>
      <c r="G11" s="14"/>
      <c r="H11" s="14"/>
    </row>
    <row r="12" customFormat="false" ht="21.75" hidden="false" customHeight="true" outlineLevel="0" collapsed="false">
      <c r="A12" s="19" t="s">
        <v>41</v>
      </c>
      <c r="B12" s="20" t="s">
        <v>42</v>
      </c>
      <c r="C12" s="20" t="s">
        <v>43</v>
      </c>
      <c r="D12" s="20" t="s">
        <v>44</v>
      </c>
      <c r="E12" s="20" t="s">
        <v>45</v>
      </c>
      <c r="F12" s="20"/>
      <c r="G12" s="20"/>
      <c r="H12" s="20"/>
    </row>
    <row r="13" customFormat="false" ht="18" hidden="false" customHeight="true" outlineLevel="0" collapsed="false">
      <c r="A13" s="21" t="s">
        <v>46</v>
      </c>
      <c r="B13" s="22" t="n">
        <f aca="false">'Capital Structures'!B7</f>
        <v>20</v>
      </c>
      <c r="C13" s="22" t="n">
        <f aca="false">'Capital Structures'!C7</f>
        <v>0</v>
      </c>
      <c r="D13" s="23" t="n">
        <f aca="false">'Capital Structures'!D7</f>
        <v>8</v>
      </c>
      <c r="E13" s="24" t="s">
        <v>47</v>
      </c>
      <c r="F13" s="24"/>
      <c r="G13" s="24"/>
      <c r="H13" s="24"/>
    </row>
    <row r="14" customFormat="false" ht="18" hidden="false" customHeight="true" outlineLevel="0" collapsed="false">
      <c r="A14" s="25" t="s">
        <v>48</v>
      </c>
      <c r="B14" s="26" t="n">
        <f aca="false">'Capital Structures'!B8</f>
        <v>0</v>
      </c>
      <c r="C14" s="26" t="n">
        <f aca="false">'Capital Structures'!C8</f>
        <v>20</v>
      </c>
      <c r="D14" s="23" t="n">
        <f aca="false">'Capital Structures'!D8</f>
        <v>12</v>
      </c>
      <c r="E14" s="15" t="s">
        <v>47</v>
      </c>
      <c r="F14" s="15"/>
      <c r="G14" s="15"/>
      <c r="H14" s="15"/>
    </row>
    <row r="15" customFormat="false" ht="18" hidden="false" customHeight="true" outlineLevel="0" collapsed="false">
      <c r="A15" s="27" t="s">
        <v>49</v>
      </c>
      <c r="B15" s="28" t="n">
        <f aca="false">'Capital Structures'!B19</f>
        <v>0.172413793103448</v>
      </c>
      <c r="C15" s="28" t="n">
        <f aca="false">'Capital Structures'!C19</f>
        <v>0</v>
      </c>
      <c r="D15" s="29" t="n">
        <f aca="false">'Capital Structures'!D19</f>
        <v>0.0769230769230769</v>
      </c>
      <c r="E15" s="24" t="s">
        <v>50</v>
      </c>
      <c r="F15" s="24"/>
      <c r="G15" s="24"/>
      <c r="H15" s="24"/>
    </row>
    <row r="16" customFormat="false" ht="18" hidden="false" customHeight="true" outlineLevel="0" collapsed="false">
      <c r="A16" s="6" t="s">
        <v>51</v>
      </c>
      <c r="B16" s="26" t="n">
        <f aca="false">'Growth Equity Case'!F11</f>
        <v>16.04562452992</v>
      </c>
      <c r="C16" s="26" t="n">
        <f aca="false">'Private Credit Case'!F23</f>
        <v>2.26062452992</v>
      </c>
      <c r="D16" s="23" t="n">
        <f aca="false">'Blended Capital Case'!F23</f>
        <v>8.13162452992</v>
      </c>
      <c r="E16" s="15" t="s">
        <v>52</v>
      </c>
      <c r="F16" s="15"/>
      <c r="G16" s="15"/>
      <c r="H16" s="15"/>
    </row>
    <row r="17" customFormat="false" ht="18" hidden="false" customHeight="true" outlineLevel="0" collapsed="false">
      <c r="A17" s="21" t="s">
        <v>53</v>
      </c>
      <c r="B17" s="30" t="str">
        <f aca="false">IF(MIN('Growth Equity Case'!B11:F11)&lt;Assumptions!B30,"BREACH","Headroom")</f>
        <v>Headroom</v>
      </c>
      <c r="C17" s="30" t="str">
        <f aca="false">IF(MIN('Private Credit Case'!B23:F23)&lt;Assumptions!B30,"BREACH","Headroom")</f>
        <v>BREACH</v>
      </c>
      <c r="D17" s="31" t="str">
        <f aca="false">IF(MIN('Blended Capital Case'!B23:F23)&lt;Assumptions!B30,"BREACH","Headroom")</f>
        <v>Headroom</v>
      </c>
      <c r="E17" s="24" t="s">
        <v>54</v>
      </c>
      <c r="F17" s="24"/>
      <c r="G17" s="24"/>
      <c r="H17" s="24"/>
    </row>
    <row r="18" customFormat="false" ht="18" hidden="false" customHeight="true" outlineLevel="0" collapsed="false">
      <c r="A18" s="25" t="s">
        <v>55</v>
      </c>
      <c r="B18" s="32" t="n">
        <f aca="false">'Growth Equity Case'!B27</f>
        <v>2.43514286084414</v>
      </c>
      <c r="C18" s="32" t="str">
        <f aca="false">"n/a"</f>
        <v>n/a</v>
      </c>
      <c r="D18" s="33" t="n">
        <f aca="false">'Blended Capital Case'!B39</f>
        <v>2.53617857555692</v>
      </c>
      <c r="E18" s="15" t="s">
        <v>56</v>
      </c>
      <c r="F18" s="15"/>
      <c r="G18" s="15"/>
      <c r="H18" s="15"/>
    </row>
    <row r="19" customFormat="false" ht="18" hidden="false" customHeight="true" outlineLevel="0" collapsed="false">
      <c r="A19" s="21" t="s">
        <v>57</v>
      </c>
      <c r="B19" s="28" t="str">
        <f aca="false">"n/a"</f>
        <v>n/a</v>
      </c>
      <c r="C19" s="28" t="n">
        <f aca="false">'Returns Analysis'!C30</f>
        <v>0.120600476236822</v>
      </c>
      <c r="D19" s="29" t="n">
        <f aca="false">'Returns Analysis'!D30</f>
        <v>0.114133759613366</v>
      </c>
      <c r="E19" s="24" t="s">
        <v>58</v>
      </c>
      <c r="F19" s="24"/>
      <c r="G19" s="24"/>
      <c r="H19" s="24"/>
    </row>
    <row r="20" customFormat="false" ht="18" hidden="false" customHeight="true" outlineLevel="0" collapsed="false">
      <c r="A20" s="6" t="s">
        <v>59</v>
      </c>
      <c r="B20" s="26" t="n">
        <f aca="false">'Downside Case'!F21</f>
        <v>8.35767486208</v>
      </c>
      <c r="C20" s="26" t="n">
        <f aca="false">'Downside Case'!F22</f>
        <v>-5.42732513792</v>
      </c>
      <c r="D20" s="23" t="n">
        <f aca="false">'Downside Case'!F23</f>
        <v>0.443674862080004</v>
      </c>
      <c r="E20" s="15" t="s">
        <v>60</v>
      </c>
      <c r="F20" s="15"/>
      <c r="G20" s="15"/>
      <c r="H20" s="15"/>
    </row>
    <row r="21" customFormat="false" ht="18" hidden="false" customHeight="true" outlineLevel="0" collapsed="false"/>
    <row r="22" customFormat="false" ht="18.75" hidden="false" customHeight="true" outlineLevel="0" collapsed="false">
      <c r="A22" s="14" t="s">
        <v>61</v>
      </c>
      <c r="B22" s="14"/>
      <c r="C22" s="14"/>
      <c r="D22" s="14"/>
      <c r="E22" s="14"/>
      <c r="F22" s="14"/>
      <c r="G22" s="14"/>
      <c r="H22" s="14"/>
    </row>
    <row r="23" customFormat="false" ht="24" hidden="false" customHeight="true" outlineLevel="0" collapsed="false">
      <c r="A23" s="34" t="s">
        <v>62</v>
      </c>
      <c r="B23" s="34"/>
      <c r="C23" s="34"/>
      <c r="D23" s="35" t="n">
        <f aca="false">Assumptions!B27+(-SUM('Operating Forecast'!B28:F28))+SUM('Blended Capital Case'!B11:F11)+Assumptions!B30-Assumptions!B14+'Capital Structures'!D10</f>
        <v>16.86837547008</v>
      </c>
      <c r="E23" s="36" t="s">
        <v>63</v>
      </c>
      <c r="F23" s="36"/>
      <c r="G23" s="36"/>
      <c r="H23" s="36"/>
    </row>
    <row r="24" customFormat="false" ht="18" hidden="false" customHeight="true" outlineLevel="0" collapsed="false">
      <c r="A24" s="34" t="s">
        <v>64</v>
      </c>
      <c r="B24" s="34"/>
      <c r="C24" s="34"/>
      <c r="D24" s="26" t="n">
        <f aca="false">Assumptions!B26</f>
        <v>20</v>
      </c>
      <c r="E24" s="36"/>
      <c r="F24" s="36"/>
      <c r="G24" s="36"/>
      <c r="H24" s="36"/>
    </row>
    <row r="25" customFormat="false" ht="18" hidden="false" customHeight="true" outlineLevel="0" collapsed="false">
      <c r="A25" s="37" t="s">
        <v>65</v>
      </c>
      <c r="B25" s="37"/>
      <c r="C25" s="37"/>
      <c r="D25" s="38" t="n">
        <f aca="false">D24-D23</f>
        <v>3.13162452992</v>
      </c>
      <c r="E25" s="36"/>
      <c r="F25" s="36"/>
      <c r="G25" s="36"/>
      <c r="H25" s="36"/>
    </row>
    <row r="26" customFormat="false" ht="18" hidden="false" customHeight="true" outlineLevel="0" collapsed="false">
      <c r="A26" s="34" t="s">
        <v>66</v>
      </c>
      <c r="B26" s="34"/>
      <c r="C26" s="34"/>
      <c r="D26" s="26" t="n">
        <f aca="false">Assumptions!B27+(-SUM('Downside Case'!B17:F17))+SUM('Blended Capital Case'!B11:F11)+Assumptions!B30-Assumptions!B14+'Capital Structures'!D10</f>
        <v>24.55632513792</v>
      </c>
      <c r="E26" s="36"/>
      <c r="F26" s="36"/>
      <c r="G26" s="36"/>
      <c r="H26" s="36"/>
    </row>
    <row r="27" customFormat="false" ht="18" hidden="false" customHeight="true" outlineLevel="0" collapsed="false">
      <c r="A27" s="37" t="s">
        <v>67</v>
      </c>
      <c r="B27" s="37"/>
      <c r="C27" s="37"/>
      <c r="D27" s="39" t="n">
        <f aca="false">MAX(0,D26-D24)</f>
        <v>4.55632513792</v>
      </c>
      <c r="E27" s="36"/>
      <c r="F27" s="36"/>
      <c r="G27" s="36"/>
      <c r="H27" s="36"/>
    </row>
    <row r="28" customFormat="false" ht="18" hidden="false" customHeight="true" outlineLevel="0" collapsed="false"/>
    <row r="29" customFormat="false" ht="18.75" hidden="false" customHeight="true" outlineLevel="0" collapsed="false">
      <c r="A29" s="14" t="s">
        <v>68</v>
      </c>
      <c r="B29" s="14"/>
      <c r="C29" s="14"/>
      <c r="D29" s="14"/>
      <c r="E29" s="14"/>
      <c r="F29" s="14"/>
      <c r="G29" s="14"/>
      <c r="H29" s="14"/>
    </row>
    <row r="30" customFormat="false" ht="18" hidden="false" customHeight="true" outlineLevel="0" collapsed="false">
      <c r="A30" s="34" t="s">
        <v>69</v>
      </c>
      <c r="B30" s="34"/>
      <c r="C30" s="34"/>
      <c r="D30" s="26" t="n">
        <f aca="false">'Growth Equity Case'!B23*(1-'Growth Equity Case'!B24)</f>
        <v>233.773714641037</v>
      </c>
      <c r="E30" s="40" t="s">
        <v>70</v>
      </c>
      <c r="F30" s="40"/>
      <c r="G30" s="40"/>
      <c r="H30" s="40"/>
    </row>
    <row r="31" customFormat="false" ht="18" hidden="false" customHeight="true" outlineLevel="0" collapsed="false">
      <c r="A31" s="34" t="s">
        <v>71</v>
      </c>
      <c r="B31" s="34"/>
      <c r="C31" s="34"/>
      <c r="D31" s="26" t="n">
        <f aca="false">'Blended Capital Case'!B35*(1-'Blended Capital Case'!B36)</f>
        <v>243.473143253465</v>
      </c>
      <c r="E31" s="40"/>
      <c r="F31" s="40"/>
      <c r="G31" s="40"/>
      <c r="H31" s="40"/>
    </row>
    <row r="32" customFormat="false" ht="18" hidden="false" customHeight="true" outlineLevel="0" collapsed="false">
      <c r="A32" s="37" t="s">
        <v>72</v>
      </c>
      <c r="B32" s="37"/>
      <c r="C32" s="37"/>
      <c r="D32" s="38" t="n">
        <f aca="false">D31-D30</f>
        <v>9.69942861242734</v>
      </c>
      <c r="E32" s="40"/>
      <c r="F32" s="40"/>
      <c r="G32" s="40"/>
      <c r="H32" s="40"/>
    </row>
    <row r="33" customFormat="false" ht="18" hidden="false" customHeight="true" outlineLevel="0" collapsed="false">
      <c r="A33" s="37" t="s">
        <v>73</v>
      </c>
      <c r="B33" s="37"/>
      <c r="C33" s="37"/>
      <c r="D33" s="35" t="n">
        <f aca="false">Sensitivities!E66</f>
        <v>15</v>
      </c>
      <c r="E33" s="40"/>
      <c r="F33" s="40"/>
      <c r="G33" s="40"/>
      <c r="H33" s="40"/>
    </row>
    <row r="34" customFormat="false" ht="18" hidden="false" customHeight="true" outlineLevel="0" collapsed="false"/>
    <row r="35" customFormat="false" ht="18" hidden="false" customHeight="true" outlineLevel="0" collapsed="false"/>
    <row r="36" customFormat="false" ht="18" hidden="false" customHeight="true" outlineLevel="0" collapsed="false"/>
    <row r="37" customFormat="false" ht="18" hidden="false" customHeight="true" outlineLevel="0" collapsed="false"/>
    <row r="38" customFormat="false" ht="18" hidden="false" customHeight="true" outlineLevel="0" collapsed="false"/>
    <row r="39" customFormat="false" ht="18" hidden="false" customHeight="true" outlineLevel="0" collapsed="false"/>
    <row r="40" customFormat="false" ht="18" hidden="false" customHeight="true" outlineLevel="0" collapsed="false"/>
    <row r="41" customFormat="false" ht="18" hidden="false" customHeight="true" outlineLevel="0" collapsed="false"/>
    <row r="42" customFormat="false" ht="18" hidden="false" customHeight="true" outlineLevel="0" collapsed="false"/>
    <row r="43" customFormat="false" ht="18" hidden="false" customHeight="true" outlineLevel="0" collapsed="false"/>
    <row r="44" customFormat="false" ht="18" hidden="false" customHeight="true" outlineLevel="0" collapsed="false"/>
  </sheetData>
  <autoFilter ref="A12:H20"/>
  <mergeCells count="43">
    <mergeCell ref="A1:H1"/>
    <mergeCell ref="A2:H2"/>
    <mergeCell ref="A3:H3"/>
    <mergeCell ref="A5:H5"/>
    <mergeCell ref="A6:B6"/>
    <mergeCell ref="C6:D6"/>
    <mergeCell ref="E6:F6"/>
    <mergeCell ref="G6:H6"/>
    <mergeCell ref="A7:B7"/>
    <mergeCell ref="C7:D7"/>
    <mergeCell ref="E7:F7"/>
    <mergeCell ref="G7:H7"/>
    <mergeCell ref="A8:B8"/>
    <mergeCell ref="C8:D8"/>
    <mergeCell ref="E8:F8"/>
    <mergeCell ref="G8:H8"/>
    <mergeCell ref="A9:B9"/>
    <mergeCell ref="C9:D9"/>
    <mergeCell ref="E9:F9"/>
    <mergeCell ref="G9:H9"/>
    <mergeCell ref="A11:H11"/>
    <mergeCell ref="E12:H12"/>
    <mergeCell ref="E13:H13"/>
    <mergeCell ref="E14:H14"/>
    <mergeCell ref="E15:H15"/>
    <mergeCell ref="E16:H16"/>
    <mergeCell ref="E17:H17"/>
    <mergeCell ref="E18:H18"/>
    <mergeCell ref="E19:H19"/>
    <mergeCell ref="E20:H20"/>
    <mergeCell ref="A22:H22"/>
    <mergeCell ref="A23:C23"/>
    <mergeCell ref="E23:H27"/>
    <mergeCell ref="A24:C24"/>
    <mergeCell ref="A25:C25"/>
    <mergeCell ref="A26:C26"/>
    <mergeCell ref="A27:C27"/>
    <mergeCell ref="A29:H29"/>
    <mergeCell ref="A30:C30"/>
    <mergeCell ref="E30:H33"/>
    <mergeCell ref="A31:C31"/>
    <mergeCell ref="A32:C32"/>
    <mergeCell ref="A33:C33"/>
  </mergeCells>
  <printOptions headings="false" gridLines="false" gridLinesSet="true" horizontalCentered="false" verticalCentered="false"/>
  <pageMargins left="0.35" right="0.35" top="0.5" bottom="0.5"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All figures are hypothetical and illustrative.&amp;R&amp;8 Page &amp;P of &amp;N</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6714"/>
    <pageSetUpPr fitToPage="true"/>
  </sheetPr>
  <dimension ref="A1:G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46"/>
    <col collapsed="false" customWidth="true" hidden="false" outlineLevel="0" max="9" min="2" style="1" width="15"/>
  </cols>
  <sheetData>
    <row r="1" customFormat="false" ht="21.75" hidden="false" customHeight="true" outlineLevel="0" collapsed="false">
      <c r="A1" s="41" t="s">
        <v>74</v>
      </c>
      <c r="B1" s="41"/>
      <c r="C1" s="41"/>
      <c r="D1" s="41"/>
      <c r="E1" s="41"/>
      <c r="F1" s="41"/>
      <c r="G1" s="41"/>
    </row>
    <row r="2" customFormat="false" ht="15" hidden="false" customHeight="true" outlineLevel="0" collapsed="false">
      <c r="A2" s="42" t="s">
        <v>75</v>
      </c>
      <c r="B2" s="42"/>
      <c r="C2" s="42"/>
      <c r="D2" s="42"/>
      <c r="E2" s="42"/>
      <c r="F2" s="42"/>
      <c r="G2" s="42"/>
    </row>
    <row r="3" customFormat="false" ht="15" hidden="false" customHeight="true" outlineLevel="0" collapsed="false">
      <c r="A3" s="43" t="s">
        <v>76</v>
      </c>
      <c r="B3" s="43"/>
      <c r="C3" s="43"/>
      <c r="D3" s="43"/>
      <c r="E3" s="43"/>
      <c r="F3" s="43"/>
      <c r="G3" s="43"/>
    </row>
    <row r="5" customFormat="false" ht="15" hidden="false" customHeight="true" outlineLevel="0" collapsed="false">
      <c r="A5" s="4" t="s">
        <v>77</v>
      </c>
      <c r="B5" s="4"/>
      <c r="C5" s="4"/>
      <c r="D5" s="4"/>
      <c r="E5" s="4"/>
      <c r="F5" s="4"/>
      <c r="G5" s="4"/>
    </row>
    <row r="6" customFormat="false" ht="15" hidden="false" customHeight="true" outlineLevel="0" collapsed="false">
      <c r="A6" s="44" t="s">
        <v>78</v>
      </c>
      <c r="B6" s="45" t="n">
        <v>12</v>
      </c>
    </row>
    <row r="7" customFormat="false" ht="15" hidden="false" customHeight="true" outlineLevel="0" collapsed="false">
      <c r="A7" s="44" t="s">
        <v>79</v>
      </c>
      <c r="B7" s="46" t="n">
        <v>0.3</v>
      </c>
    </row>
    <row r="8" customFormat="false" ht="15" hidden="false" customHeight="true" outlineLevel="0" collapsed="false">
      <c r="A8" s="44" t="s">
        <v>80</v>
      </c>
      <c r="B8" s="46" t="n">
        <v>0.02</v>
      </c>
    </row>
    <row r="9" customFormat="false" ht="15" hidden="false" customHeight="true" outlineLevel="0" collapsed="false">
      <c r="A9" s="44" t="s">
        <v>34</v>
      </c>
      <c r="B9" s="46" t="n">
        <v>1.1</v>
      </c>
    </row>
    <row r="10" customFormat="false" ht="15" hidden="false" customHeight="true" outlineLevel="0" collapsed="false">
      <c r="A10" s="44" t="s">
        <v>35</v>
      </c>
      <c r="B10" s="46" t="n">
        <v>0.88</v>
      </c>
    </row>
    <row r="11" customFormat="false" ht="15" hidden="false" customHeight="true" outlineLevel="0" collapsed="false">
      <c r="A11" s="44" t="s">
        <v>36</v>
      </c>
      <c r="B11" s="46" t="n">
        <v>0.78</v>
      </c>
    </row>
    <row r="12" customFormat="false" ht="15" hidden="false" customHeight="true" outlineLevel="0" collapsed="false">
      <c r="A12" s="44" t="s">
        <v>81</v>
      </c>
      <c r="B12" s="46" t="n">
        <v>0.02</v>
      </c>
    </row>
    <row r="13" customFormat="false" ht="15" hidden="false" customHeight="true" outlineLevel="0" collapsed="false">
      <c r="A13" s="44" t="s">
        <v>82</v>
      </c>
      <c r="B13" s="46" t="n">
        <v>0.1</v>
      </c>
    </row>
    <row r="14" customFormat="false" ht="15" hidden="false" customHeight="true" outlineLevel="0" collapsed="false">
      <c r="A14" s="44" t="s">
        <v>83</v>
      </c>
      <c r="B14" s="45" t="n">
        <v>8</v>
      </c>
    </row>
    <row r="15" customFormat="false" ht="15" hidden="false" customHeight="true" outlineLevel="0" collapsed="false">
      <c r="A15" s="44" t="s">
        <v>84</v>
      </c>
      <c r="B15" s="45" t="n">
        <v>3</v>
      </c>
    </row>
    <row r="16" customFormat="false" ht="15" hidden="false" customHeight="true" outlineLevel="0" collapsed="false">
      <c r="A16" s="44" t="s">
        <v>85</v>
      </c>
      <c r="B16" s="47" t="n">
        <v>240</v>
      </c>
    </row>
    <row r="17" customFormat="false" ht="15" hidden="false" customHeight="true" outlineLevel="0" collapsed="false">
      <c r="A17" s="44" t="s">
        <v>86</v>
      </c>
      <c r="B17" s="48" t="n">
        <v>1.15</v>
      </c>
    </row>
    <row r="19" customFormat="false" ht="15" hidden="false" customHeight="true" outlineLevel="0" collapsed="false">
      <c r="A19" s="4" t="s">
        <v>87</v>
      </c>
      <c r="B19" s="4"/>
      <c r="C19" s="4"/>
      <c r="D19" s="4"/>
      <c r="E19" s="4"/>
      <c r="F19" s="4"/>
      <c r="G19" s="4"/>
    </row>
    <row r="20" customFormat="false" ht="15" hidden="false" customHeight="true" outlineLevel="0" collapsed="false">
      <c r="A20" s="49" t="s">
        <v>88</v>
      </c>
      <c r="B20" s="49" t="s">
        <v>89</v>
      </c>
      <c r="C20" s="49" t="s">
        <v>90</v>
      </c>
      <c r="D20" s="49" t="s">
        <v>91</v>
      </c>
      <c r="E20" s="49" t="s">
        <v>92</v>
      </c>
      <c r="F20" s="49" t="s">
        <v>93</v>
      </c>
    </row>
    <row r="21" customFormat="false" ht="15" hidden="false" customHeight="true" outlineLevel="0" collapsed="false">
      <c r="A21" s="44" t="s">
        <v>94</v>
      </c>
      <c r="B21" s="46" t="n">
        <v>0.55</v>
      </c>
      <c r="C21" s="46" t="n">
        <v>0.52</v>
      </c>
      <c r="D21" s="46" t="n">
        <v>0.48</v>
      </c>
      <c r="E21" s="46" t="n">
        <v>0.44</v>
      </c>
      <c r="F21" s="46" t="n">
        <v>0.4</v>
      </c>
    </row>
    <row r="22" customFormat="false" ht="15" hidden="false" customHeight="true" outlineLevel="0" collapsed="false">
      <c r="A22" s="44" t="s">
        <v>95</v>
      </c>
      <c r="B22" s="46" t="n">
        <v>0.3</v>
      </c>
      <c r="C22" s="46" t="n">
        <v>0.28</v>
      </c>
      <c r="D22" s="46" t="n">
        <v>0.26</v>
      </c>
      <c r="E22" s="46" t="n">
        <v>0.24</v>
      </c>
      <c r="F22" s="46" t="n">
        <v>0.22</v>
      </c>
    </row>
    <row r="23" customFormat="false" ht="15" hidden="false" customHeight="true" outlineLevel="0" collapsed="false">
      <c r="A23" s="44" t="s">
        <v>96</v>
      </c>
      <c r="B23" s="46" t="n">
        <v>0.18</v>
      </c>
      <c r="C23" s="46" t="n">
        <v>0.16</v>
      </c>
      <c r="D23" s="46" t="n">
        <v>0.15</v>
      </c>
      <c r="E23" s="46" t="n">
        <v>0.14</v>
      </c>
      <c r="F23" s="46" t="n">
        <v>0.13</v>
      </c>
    </row>
    <row r="25" customFormat="false" ht="15" hidden="false" customHeight="true" outlineLevel="0" collapsed="false">
      <c r="A25" s="4" t="s">
        <v>97</v>
      </c>
      <c r="B25" s="4"/>
      <c r="C25" s="4"/>
      <c r="D25" s="4"/>
      <c r="E25" s="4"/>
      <c r="F25" s="4"/>
      <c r="G25" s="4"/>
    </row>
    <row r="26" customFormat="false" ht="15" hidden="false" customHeight="true" outlineLevel="0" collapsed="false">
      <c r="A26" s="44" t="s">
        <v>98</v>
      </c>
      <c r="B26" s="45" t="n">
        <v>20</v>
      </c>
    </row>
    <row r="27" customFormat="false" ht="15" hidden="false" customHeight="true" outlineLevel="0" collapsed="false">
      <c r="A27" s="44" t="s">
        <v>99</v>
      </c>
      <c r="B27" s="45" t="n">
        <v>3</v>
      </c>
    </row>
    <row r="28" customFormat="false" ht="15" hidden="false" customHeight="true" outlineLevel="0" collapsed="false">
      <c r="A28" s="44" t="s">
        <v>100</v>
      </c>
      <c r="B28" s="48" t="n">
        <v>8</v>
      </c>
    </row>
    <row r="29" customFormat="false" ht="15" hidden="false" customHeight="true" outlineLevel="0" collapsed="false">
      <c r="A29" s="44" t="s">
        <v>39</v>
      </c>
      <c r="B29" s="48" t="n">
        <v>7</v>
      </c>
    </row>
    <row r="30" customFormat="false" ht="15" hidden="false" customHeight="true" outlineLevel="0" collapsed="false">
      <c r="A30" s="44" t="s">
        <v>101</v>
      </c>
      <c r="B30" s="45" t="n">
        <v>5</v>
      </c>
    </row>
    <row r="32" customFormat="false" ht="15" hidden="false" customHeight="true" outlineLevel="0" collapsed="false">
      <c r="A32" s="4" t="s">
        <v>102</v>
      </c>
      <c r="B32" s="4"/>
      <c r="C32" s="4"/>
      <c r="D32" s="4"/>
      <c r="E32" s="4"/>
      <c r="F32" s="4"/>
      <c r="G32" s="4"/>
    </row>
    <row r="33" customFormat="false" ht="15" hidden="false" customHeight="true" outlineLevel="0" collapsed="false">
      <c r="A33" s="44" t="s">
        <v>103</v>
      </c>
      <c r="B33" s="45" t="n">
        <v>20</v>
      </c>
    </row>
    <row r="35" customFormat="false" ht="15" hidden="false" customHeight="true" outlineLevel="0" collapsed="false">
      <c r="A35" s="4" t="s">
        <v>104</v>
      </c>
      <c r="B35" s="4"/>
      <c r="C35" s="4"/>
      <c r="D35" s="4"/>
      <c r="E35" s="4"/>
      <c r="F35" s="4"/>
      <c r="G35" s="4"/>
    </row>
    <row r="36" customFormat="false" ht="15" hidden="false" customHeight="true" outlineLevel="0" collapsed="false">
      <c r="A36" s="44" t="s">
        <v>105</v>
      </c>
      <c r="B36" s="45" t="n">
        <v>20</v>
      </c>
    </row>
    <row r="37" customFormat="false" ht="15" hidden="false" customHeight="true" outlineLevel="0" collapsed="false">
      <c r="A37" s="44" t="s">
        <v>106</v>
      </c>
      <c r="B37" s="46" t="n">
        <v>0.115</v>
      </c>
    </row>
    <row r="38" customFormat="false" ht="15" hidden="false" customHeight="true" outlineLevel="0" collapsed="false">
      <c r="A38" s="44" t="s">
        <v>107</v>
      </c>
      <c r="B38" s="46" t="n">
        <v>0</v>
      </c>
    </row>
    <row r="39" customFormat="false" ht="15" hidden="false" customHeight="true" outlineLevel="0" collapsed="false">
      <c r="A39" s="44" t="s">
        <v>108</v>
      </c>
      <c r="B39" s="46" t="n">
        <v>0.02</v>
      </c>
    </row>
    <row r="40" customFormat="false" ht="15" hidden="false" customHeight="true" outlineLevel="0" collapsed="false">
      <c r="A40" s="44" t="s">
        <v>109</v>
      </c>
      <c r="B40" s="47" t="n">
        <v>5</v>
      </c>
    </row>
    <row r="41" customFormat="false" ht="15" hidden="false" customHeight="true" outlineLevel="0" collapsed="false">
      <c r="A41" s="44" t="s">
        <v>110</v>
      </c>
      <c r="B41" s="47" t="n">
        <v>3</v>
      </c>
    </row>
    <row r="42" customFormat="false" ht="15" hidden="false" customHeight="true" outlineLevel="0" collapsed="false">
      <c r="A42" s="44" t="s">
        <v>111</v>
      </c>
      <c r="B42" s="46" t="n">
        <v>0.05</v>
      </c>
    </row>
    <row r="44" customFormat="false" ht="15" hidden="false" customHeight="true" outlineLevel="0" collapsed="false">
      <c r="A44" s="4" t="s">
        <v>112</v>
      </c>
      <c r="B44" s="4"/>
      <c r="C44" s="4"/>
      <c r="D44" s="4"/>
      <c r="E44" s="4"/>
      <c r="F44" s="4"/>
      <c r="G44" s="4"/>
    </row>
    <row r="45" customFormat="false" ht="15" hidden="false" customHeight="true" outlineLevel="0" collapsed="false">
      <c r="A45" s="44" t="s">
        <v>113</v>
      </c>
      <c r="B45" s="45" t="n">
        <v>8</v>
      </c>
    </row>
    <row r="46" customFormat="false" ht="15" hidden="false" customHeight="true" outlineLevel="0" collapsed="false">
      <c r="A46" s="44" t="s">
        <v>114</v>
      </c>
      <c r="B46" s="45" t="n">
        <v>12</v>
      </c>
    </row>
    <row r="47" customFormat="false" ht="15" hidden="false" customHeight="true" outlineLevel="0" collapsed="false">
      <c r="A47" s="44" t="s">
        <v>106</v>
      </c>
      <c r="B47" s="46" t="n">
        <v>0.11</v>
      </c>
    </row>
    <row r="48" customFormat="false" ht="15" hidden="false" customHeight="true" outlineLevel="0" collapsed="false">
      <c r="A48" s="44" t="s">
        <v>107</v>
      </c>
      <c r="B48" s="46" t="n">
        <v>0</v>
      </c>
    </row>
    <row r="49" customFormat="false" ht="15" hidden="false" customHeight="true" outlineLevel="0" collapsed="false">
      <c r="A49" s="44" t="s">
        <v>108</v>
      </c>
      <c r="B49" s="46" t="n">
        <v>0.015</v>
      </c>
    </row>
    <row r="50" customFormat="false" ht="15" hidden="false" customHeight="true" outlineLevel="0" collapsed="false">
      <c r="A50" s="44" t="s">
        <v>109</v>
      </c>
      <c r="B50" s="47" t="n">
        <v>5</v>
      </c>
    </row>
    <row r="51" customFormat="false" ht="15" hidden="false" customHeight="true" outlineLevel="0" collapsed="false">
      <c r="A51" s="44" t="s">
        <v>110</v>
      </c>
      <c r="B51" s="47" t="n">
        <v>3</v>
      </c>
    </row>
    <row r="52" customFormat="false" ht="15" hidden="false" customHeight="true" outlineLevel="0" collapsed="false">
      <c r="A52" s="44" t="s">
        <v>111</v>
      </c>
      <c r="B52" s="46" t="n">
        <v>0.05</v>
      </c>
    </row>
    <row r="54" customFormat="false" ht="15" hidden="false" customHeight="true" outlineLevel="0" collapsed="false">
      <c r="A54" s="4" t="s">
        <v>115</v>
      </c>
      <c r="B54" s="4"/>
      <c r="C54" s="4"/>
      <c r="D54" s="4"/>
      <c r="E54" s="4"/>
      <c r="F54" s="4"/>
      <c r="G54" s="4"/>
    </row>
    <row r="55" customFormat="false" ht="15" hidden="false" customHeight="true" outlineLevel="0" collapsed="false">
      <c r="A55" s="44" t="s">
        <v>79</v>
      </c>
      <c r="B55" s="46" t="n">
        <v>0.18</v>
      </c>
    </row>
    <row r="56" customFormat="false" ht="15" hidden="false" customHeight="true" outlineLevel="0" collapsed="false">
      <c r="A56" s="44" t="s">
        <v>34</v>
      </c>
      <c r="B56" s="46" t="n">
        <v>1</v>
      </c>
    </row>
    <row r="57" customFormat="false" ht="15" hidden="false" customHeight="true" outlineLevel="0" collapsed="false">
      <c r="A57" s="44" t="s">
        <v>35</v>
      </c>
      <c r="B57" s="46" t="n">
        <v>0.82</v>
      </c>
    </row>
    <row r="58" customFormat="false" ht="15" hidden="false" customHeight="true" outlineLevel="0" collapsed="false">
      <c r="A58" s="44" t="s">
        <v>36</v>
      </c>
      <c r="B58" s="46" t="n">
        <v>0.74</v>
      </c>
    </row>
    <row r="59" customFormat="false" ht="15" hidden="false" customHeight="true" outlineLevel="0" collapsed="false">
      <c r="A59" s="44" t="s">
        <v>116</v>
      </c>
      <c r="B59" s="46" t="n">
        <v>0.05</v>
      </c>
    </row>
    <row r="61" customFormat="false" ht="15" hidden="false" customHeight="true" outlineLevel="0" collapsed="false">
      <c r="A61" s="50" t="s">
        <v>76</v>
      </c>
      <c r="D61" s="51"/>
    </row>
    <row r="62" customFormat="false" ht="15" hidden="false" customHeight="true" outlineLevel="0" collapsed="false">
      <c r="D62" s="52"/>
    </row>
  </sheetData>
  <mergeCells count="10">
    <mergeCell ref="A1:G1"/>
    <mergeCell ref="A2:G2"/>
    <mergeCell ref="A3:G3"/>
    <mergeCell ref="A5:G5"/>
    <mergeCell ref="A19:G19"/>
    <mergeCell ref="A25:G25"/>
    <mergeCell ref="A32:G32"/>
    <mergeCell ref="A35:G35"/>
    <mergeCell ref="A44:G44"/>
    <mergeCell ref="A54:G54"/>
  </mergeCells>
  <printOptions headings="false" gridLines="false" gridLinesSet="true" horizontalCentered="false" verticalCentered="false"/>
  <pageMargins left="0.35" right="0.35"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All figures are hypothetical and illustrative.&amp;R&amp;8 Page &amp;P of &amp;N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40"/>
    <col collapsed="false" customWidth="true" hidden="false" outlineLevel="0" max="5" min="2" style="1" width="15"/>
  </cols>
  <sheetData>
    <row r="1" customFormat="false" ht="21.75" hidden="false" customHeight="true" outlineLevel="0" collapsed="false">
      <c r="A1" s="41" t="s">
        <v>117</v>
      </c>
      <c r="B1" s="41"/>
      <c r="C1" s="41"/>
      <c r="D1" s="41"/>
      <c r="E1" s="41"/>
    </row>
    <row r="2" customFormat="false" ht="15" hidden="false" customHeight="true" outlineLevel="0" collapsed="false">
      <c r="A2" s="42" t="s">
        <v>118</v>
      </c>
      <c r="B2" s="42"/>
      <c r="C2" s="42"/>
      <c r="D2" s="42"/>
      <c r="E2" s="42"/>
    </row>
    <row r="3" customFormat="false" ht="15" hidden="false" customHeight="true" outlineLevel="0" collapsed="false">
      <c r="A3" s="43" t="s">
        <v>76</v>
      </c>
      <c r="B3" s="43"/>
      <c r="C3" s="43"/>
      <c r="D3" s="43"/>
      <c r="E3" s="43"/>
    </row>
    <row r="5" customFormat="false" ht="15" hidden="false" customHeight="true" outlineLevel="0" collapsed="false">
      <c r="A5" s="49" t="s">
        <v>119</v>
      </c>
      <c r="B5" s="49" t="s">
        <v>120</v>
      </c>
      <c r="C5" s="49" t="s">
        <v>121</v>
      </c>
      <c r="D5" s="49" t="s">
        <v>122</v>
      </c>
      <c r="E5" s="49" t="s">
        <v>123</v>
      </c>
    </row>
    <row r="6" customFormat="false" ht="15" hidden="false" customHeight="true" outlineLevel="0" collapsed="false">
      <c r="A6" s="44" t="s">
        <v>124</v>
      </c>
      <c r="B6" s="53" t="n">
        <v>4.9</v>
      </c>
      <c r="C6" s="53" t="n">
        <v>6.9</v>
      </c>
      <c r="D6" s="53" t="n">
        <v>9.4</v>
      </c>
      <c r="E6" s="54" t="n">
        <f aca="false">Assumptions!$B$6</f>
        <v>12</v>
      </c>
    </row>
    <row r="7" customFormat="false" ht="15" hidden="false" customHeight="true" outlineLevel="0" collapsed="false">
      <c r="A7" s="44" t="s">
        <v>125</v>
      </c>
      <c r="B7" s="55" t="s">
        <v>126</v>
      </c>
      <c r="C7" s="56" t="n">
        <f aca="false">C6/B6-1</f>
        <v>0.408163265306122</v>
      </c>
      <c r="D7" s="56" t="n">
        <f aca="false">D6/C6-1</f>
        <v>0.36231884057971</v>
      </c>
      <c r="E7" s="56" t="n">
        <f aca="false">E6/D6-1</f>
        <v>0.276595744680851</v>
      </c>
    </row>
    <row r="8" customFormat="false" ht="15" hidden="false" customHeight="true" outlineLevel="0" collapsed="false">
      <c r="A8" s="44" t="s">
        <v>127</v>
      </c>
      <c r="B8" s="54" t="n">
        <f aca="false">B6*0.85</f>
        <v>4.165</v>
      </c>
      <c r="C8" s="54" t="n">
        <f aca="false">(B6+C6)/2</f>
        <v>5.9</v>
      </c>
      <c r="D8" s="54" t="n">
        <f aca="false">(C6+D6)/2</f>
        <v>8.15</v>
      </c>
      <c r="E8" s="54" t="n">
        <f aca="false">(D6+E6)/2</f>
        <v>10.7</v>
      </c>
    </row>
    <row r="9" customFormat="false" ht="15" hidden="false" customHeight="true" outlineLevel="0" collapsed="false">
      <c r="A9" s="44" t="s">
        <v>128</v>
      </c>
      <c r="B9" s="54" t="n">
        <f aca="false">B8*Assumptions!$B$11</f>
        <v>3.2487</v>
      </c>
      <c r="C9" s="54" t="n">
        <f aca="false">C8*Assumptions!$B$11</f>
        <v>4.602</v>
      </c>
      <c r="D9" s="54" t="n">
        <f aca="false">D8*Assumptions!$B$11</f>
        <v>6.357</v>
      </c>
      <c r="E9" s="54" t="n">
        <f aca="false">E8*Assumptions!$B$11</f>
        <v>8.346</v>
      </c>
    </row>
    <row r="10" customFormat="false" ht="15" hidden="false" customHeight="true" outlineLevel="0" collapsed="false">
      <c r="A10" s="44" t="s">
        <v>129</v>
      </c>
      <c r="B10" s="53" t="n">
        <v>5.4</v>
      </c>
      <c r="C10" s="53" t="n">
        <v>7.3</v>
      </c>
      <c r="D10" s="53" t="n">
        <v>9.6</v>
      </c>
      <c r="E10" s="53" t="n">
        <v>12.7</v>
      </c>
    </row>
    <row r="11" customFormat="false" ht="15" hidden="false" customHeight="true" outlineLevel="0" collapsed="false">
      <c r="A11" s="44" t="s">
        <v>130</v>
      </c>
      <c r="B11" s="57" t="n">
        <f aca="false">B9-B10</f>
        <v>-2.1513</v>
      </c>
      <c r="C11" s="57" t="n">
        <f aca="false">C9-C10</f>
        <v>-2.698</v>
      </c>
      <c r="D11" s="57" t="n">
        <f aca="false">D9-D10</f>
        <v>-3.243</v>
      </c>
      <c r="E11" s="57" t="n">
        <f aca="false">E9-E10</f>
        <v>-4.354</v>
      </c>
    </row>
    <row r="12" customFormat="false" ht="15" hidden="false" customHeight="true" outlineLevel="0" collapsed="false">
      <c r="A12" s="44" t="s">
        <v>131</v>
      </c>
      <c r="B12" s="53" t="n">
        <v>6.2</v>
      </c>
      <c r="C12" s="53" t="n">
        <v>9.8</v>
      </c>
      <c r="D12" s="53" t="n">
        <v>7.1</v>
      </c>
      <c r="E12" s="54" t="n">
        <f aca="false">Assumptions!$B$14</f>
        <v>8</v>
      </c>
    </row>
    <row r="13" customFormat="false" ht="15" hidden="false" customHeight="true" outlineLevel="0" collapsed="false">
      <c r="A13" s="44" t="s">
        <v>132</v>
      </c>
      <c r="B13" s="58" t="n">
        <v>118</v>
      </c>
      <c r="C13" s="58" t="n">
        <v>156</v>
      </c>
      <c r="D13" s="58" t="n">
        <v>199</v>
      </c>
      <c r="E13" s="59" t="n">
        <f aca="false">Assumptions!$B$16</f>
        <v>240</v>
      </c>
    </row>
    <row r="15" customFormat="false" ht="39.75" hidden="false" customHeight="true" outlineLevel="0" collapsed="false">
      <c r="A15" s="60" t="s">
        <v>133</v>
      </c>
      <c r="B15" s="60"/>
      <c r="C15" s="60"/>
      <c r="D15" s="60"/>
      <c r="E15" s="60"/>
    </row>
    <row r="17" customFormat="false" ht="15" hidden="false" customHeight="true" outlineLevel="0" collapsed="false">
      <c r="A17" s="50" t="s">
        <v>76</v>
      </c>
    </row>
  </sheetData>
  <mergeCells count="4">
    <mergeCell ref="A1:E1"/>
    <mergeCell ref="A2:E2"/>
    <mergeCell ref="A3:E3"/>
    <mergeCell ref="A15:E15"/>
  </mergeCells>
  <conditionalFormatting sqref="B11:E11">
    <cfRule type="cellIs" priority="2" operator="lessThan" aboveAverage="0" equalAverage="0" bottom="0" percent="0" rank="0" text="" dxfId="10">
      <formula>0</formula>
    </cfRule>
  </conditionalFormatting>
  <printOptions headings="false" gridLines="false" gridLinesSet="true" horizontalCentered="false" verticalCentered="false"/>
  <pageMargins left="0.35" right="0.35"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All figures are hypothetical and illustrative.&amp;R&amp;8 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7A"/>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44"/>
    <col collapsed="false" customWidth="true" hidden="false" outlineLevel="0" max="7" min="2" style="1" width="15"/>
  </cols>
  <sheetData>
    <row r="1" customFormat="false" ht="21.75" hidden="false" customHeight="true" outlineLevel="0" collapsed="false">
      <c r="A1" s="41" t="s">
        <v>134</v>
      </c>
      <c r="B1" s="41"/>
      <c r="C1" s="41"/>
      <c r="D1" s="41"/>
      <c r="E1" s="41"/>
      <c r="F1" s="41"/>
    </row>
    <row r="2" customFormat="false" ht="15" hidden="false" customHeight="true" outlineLevel="0" collapsed="false">
      <c r="A2" s="42" t="s">
        <v>135</v>
      </c>
      <c r="B2" s="42"/>
      <c r="C2" s="42"/>
      <c r="D2" s="42"/>
      <c r="E2" s="42"/>
      <c r="F2" s="42"/>
    </row>
    <row r="3" customFormat="false" ht="15" hidden="false" customHeight="true" outlineLevel="0" collapsed="false">
      <c r="A3" s="43" t="s">
        <v>76</v>
      </c>
      <c r="B3" s="43"/>
      <c r="C3" s="43"/>
      <c r="D3" s="43"/>
      <c r="E3" s="43"/>
      <c r="F3" s="43"/>
    </row>
    <row r="5" customFormat="false" ht="15" hidden="false" customHeight="true" outlineLevel="0" collapsed="false">
      <c r="A5" s="49" t="s">
        <v>119</v>
      </c>
      <c r="B5" s="49" t="s">
        <v>89</v>
      </c>
      <c r="C5" s="49" t="s">
        <v>90</v>
      </c>
      <c r="D5" s="49" t="s">
        <v>91</v>
      </c>
      <c r="E5" s="49" t="s">
        <v>92</v>
      </c>
      <c r="F5" s="49" t="s">
        <v>93</v>
      </c>
    </row>
    <row r="6" customFormat="false" ht="15" hidden="false" customHeight="true" outlineLevel="0" collapsed="false">
      <c r="A6" s="4" t="s">
        <v>136</v>
      </c>
    </row>
    <row r="7" customFormat="false" ht="15" hidden="false" customHeight="true" outlineLevel="0" collapsed="false">
      <c r="A7" s="44" t="s">
        <v>32</v>
      </c>
      <c r="B7" s="54" t="n">
        <f aca="false">Assumptions!$B$6</f>
        <v>12</v>
      </c>
      <c r="C7" s="54" t="n">
        <f aca="false">B12</f>
        <v>15.6</v>
      </c>
      <c r="D7" s="54" t="n">
        <f aca="false">C12</f>
        <v>19.968</v>
      </c>
      <c r="E7" s="54" t="n">
        <f aca="false">D12</f>
        <v>25.15968</v>
      </c>
      <c r="F7" s="54" t="n">
        <f aca="false">E12</f>
        <v>31.1980032</v>
      </c>
    </row>
    <row r="8" customFormat="false" ht="15" hidden="false" customHeight="true" outlineLevel="0" collapsed="false">
      <c r="A8" s="44" t="s">
        <v>137</v>
      </c>
      <c r="B8" s="56" t="n">
        <f aca="false">MAX(0,Assumptions!$B$7-Assumptions!$B$8*0)</f>
        <v>0.3</v>
      </c>
      <c r="C8" s="56" t="n">
        <f aca="false">MAX(0,Assumptions!$B$7-Assumptions!$B$8*1)</f>
        <v>0.28</v>
      </c>
      <c r="D8" s="56" t="n">
        <f aca="false">MAX(0,Assumptions!$B$7-Assumptions!$B$8*2)</f>
        <v>0.26</v>
      </c>
      <c r="E8" s="56" t="n">
        <f aca="false">MAX(0,Assumptions!$B$7-Assumptions!$B$8*3)</f>
        <v>0.24</v>
      </c>
      <c r="F8" s="56" t="n">
        <f aca="false">MAX(0,Assumptions!$B$7-Assumptions!$B$8*4)</f>
        <v>0.22</v>
      </c>
    </row>
    <row r="9" customFormat="false" ht="15" hidden="false" customHeight="true" outlineLevel="0" collapsed="false">
      <c r="A9" s="44" t="s">
        <v>138</v>
      </c>
      <c r="B9" s="54" t="n">
        <f aca="false">B7*(1+B8)-B7*Assumptions!$B$9</f>
        <v>2.4</v>
      </c>
      <c r="C9" s="54" t="n">
        <f aca="false">C7*(1+C8)-C7*Assumptions!$B$9</f>
        <v>2.808</v>
      </c>
      <c r="D9" s="54" t="n">
        <f aca="false">D7*(1+D8)-D7*Assumptions!$B$9</f>
        <v>3.19488</v>
      </c>
      <c r="E9" s="54" t="n">
        <f aca="false">E7*(1+E8)-E7*Assumptions!$B$9</f>
        <v>3.5223552</v>
      </c>
      <c r="F9" s="54" t="n">
        <f aca="false">F7*(1+F8)-F7*Assumptions!$B$9</f>
        <v>3.74376038399999</v>
      </c>
    </row>
    <row r="10" customFormat="false" ht="15" hidden="false" customHeight="true" outlineLevel="0" collapsed="false">
      <c r="A10" s="44" t="s">
        <v>139</v>
      </c>
      <c r="B10" s="54" t="n">
        <f aca="false">B7*(Assumptions!$B$9-Assumptions!$B$10)</f>
        <v>2.64</v>
      </c>
      <c r="C10" s="54" t="n">
        <f aca="false">C7*(Assumptions!$B$9-Assumptions!$B$10)</f>
        <v>3.432</v>
      </c>
      <c r="D10" s="54" t="n">
        <f aca="false">D7*(Assumptions!$B$9-Assumptions!$B$10)</f>
        <v>4.39296</v>
      </c>
      <c r="E10" s="54" t="n">
        <f aca="false">E7*(Assumptions!$B$9-Assumptions!$B$10)</f>
        <v>5.5351296</v>
      </c>
      <c r="F10" s="54" t="n">
        <f aca="false">F7*(Assumptions!$B$9-Assumptions!$B$10)</f>
        <v>6.863560704</v>
      </c>
    </row>
    <row r="11" customFormat="false" ht="15" hidden="false" customHeight="true" outlineLevel="0" collapsed="false">
      <c r="A11" s="44" t="s">
        <v>140</v>
      </c>
      <c r="B11" s="54" t="n">
        <f aca="false">-B7*(1-Assumptions!$B$10)</f>
        <v>-1.44</v>
      </c>
      <c r="C11" s="54" t="n">
        <f aca="false">-C7*(1-Assumptions!$B$10)</f>
        <v>-1.872</v>
      </c>
      <c r="D11" s="54" t="n">
        <f aca="false">-D7*(1-Assumptions!$B$10)</f>
        <v>-2.39616</v>
      </c>
      <c r="E11" s="54" t="n">
        <f aca="false">-E7*(1-Assumptions!$B$10)</f>
        <v>-3.0191616</v>
      </c>
      <c r="F11" s="54" t="n">
        <f aca="false">-F7*(1-Assumptions!$B$10)</f>
        <v>-3.743760384</v>
      </c>
    </row>
    <row r="12" customFormat="false" ht="15" hidden="false" customHeight="true" outlineLevel="0" collapsed="false">
      <c r="A12" s="61" t="s">
        <v>124</v>
      </c>
      <c r="B12" s="57" t="n">
        <f aca="false">B7+B9+B10+B11</f>
        <v>15.6</v>
      </c>
      <c r="C12" s="57" t="n">
        <f aca="false">C7+C9+C10+C11</f>
        <v>19.968</v>
      </c>
      <c r="D12" s="57" t="n">
        <f aca="false">D7+D9+D10+D11</f>
        <v>25.15968</v>
      </c>
      <c r="E12" s="57" t="n">
        <f aca="false">E7+E9+E10+E11</f>
        <v>31.1980032</v>
      </c>
      <c r="F12" s="57" t="n">
        <f aca="false">F7+F9+F10+F11</f>
        <v>38.061563904</v>
      </c>
    </row>
    <row r="14" customFormat="false" ht="15" hidden="false" customHeight="true" outlineLevel="0" collapsed="false">
      <c r="A14" s="4" t="s">
        <v>141</v>
      </c>
    </row>
    <row r="15" customFormat="false" ht="15" hidden="false" customHeight="true" outlineLevel="0" collapsed="false">
      <c r="A15" s="44" t="s">
        <v>127</v>
      </c>
      <c r="B15" s="54" t="n">
        <f aca="false">(B7+B12)/2</f>
        <v>13.8</v>
      </c>
      <c r="C15" s="54" t="n">
        <f aca="false">(C7+C12)/2</f>
        <v>17.784</v>
      </c>
      <c r="D15" s="54" t="n">
        <f aca="false">(D7+D12)/2</f>
        <v>22.56384</v>
      </c>
      <c r="E15" s="54" t="n">
        <f aca="false">(E7+E12)/2</f>
        <v>28.1788416</v>
      </c>
      <c r="F15" s="54" t="n">
        <f aca="false">(F7+F12)/2</f>
        <v>34.629783552</v>
      </c>
    </row>
    <row r="16" customFormat="false" ht="15" hidden="false" customHeight="true" outlineLevel="0" collapsed="false">
      <c r="A16" s="44" t="s">
        <v>128</v>
      </c>
      <c r="B16" s="54" t="n">
        <f aca="false">B15*Assumptions!$B$11</f>
        <v>10.764</v>
      </c>
      <c r="C16" s="54" t="n">
        <f aca="false">C15*Assumptions!$B$11</f>
        <v>13.87152</v>
      </c>
      <c r="D16" s="54" t="n">
        <f aca="false">D15*Assumptions!$B$11</f>
        <v>17.5997952</v>
      </c>
      <c r="E16" s="54" t="n">
        <f aca="false">E15*Assumptions!$B$11</f>
        <v>21.979496448</v>
      </c>
      <c r="F16" s="54" t="n">
        <f aca="false">F15*Assumptions!$B$11</f>
        <v>27.01123117056</v>
      </c>
    </row>
    <row r="17" customFormat="false" ht="15" hidden="false" customHeight="true" outlineLevel="0" collapsed="false">
      <c r="A17" s="44" t="s">
        <v>36</v>
      </c>
      <c r="B17" s="56" t="n">
        <f aca="false">B16/B15</f>
        <v>0.78</v>
      </c>
      <c r="C17" s="56" t="n">
        <f aca="false">C16/C15</f>
        <v>0.78</v>
      </c>
      <c r="D17" s="56" t="n">
        <f aca="false">D16/D15</f>
        <v>0.78</v>
      </c>
      <c r="E17" s="56" t="n">
        <f aca="false">E16/E15</f>
        <v>0.78</v>
      </c>
      <c r="F17" s="56" t="n">
        <f aca="false">F16/F15</f>
        <v>0.78</v>
      </c>
    </row>
    <row r="18" customFormat="false" ht="15" hidden="false" customHeight="true" outlineLevel="0" collapsed="false">
      <c r="A18" s="44" t="s">
        <v>94</v>
      </c>
      <c r="B18" s="54" t="n">
        <f aca="false">-B15*Assumptions!B$21</f>
        <v>-7.59</v>
      </c>
      <c r="C18" s="54" t="n">
        <f aca="false">-C15*Assumptions!C$21</f>
        <v>-9.24768</v>
      </c>
      <c r="D18" s="54" t="n">
        <f aca="false">-D15*Assumptions!D$21</f>
        <v>-10.8306432</v>
      </c>
      <c r="E18" s="54" t="n">
        <f aca="false">-E15*Assumptions!E$21</f>
        <v>-12.398690304</v>
      </c>
      <c r="F18" s="54" t="n">
        <f aca="false">-F15*Assumptions!F$21</f>
        <v>-13.8519134208</v>
      </c>
    </row>
    <row r="19" customFormat="false" ht="15" hidden="false" customHeight="true" outlineLevel="0" collapsed="false">
      <c r="A19" s="44" t="s">
        <v>95</v>
      </c>
      <c r="B19" s="54" t="n">
        <f aca="false">-B15*Assumptions!B$22</f>
        <v>-4.14</v>
      </c>
      <c r="C19" s="54" t="n">
        <f aca="false">-C15*Assumptions!C$22</f>
        <v>-4.97952</v>
      </c>
      <c r="D19" s="54" t="n">
        <f aca="false">-D15*Assumptions!D$22</f>
        <v>-5.8665984</v>
      </c>
      <c r="E19" s="54" t="n">
        <f aca="false">-E15*Assumptions!E$22</f>
        <v>-6.762921984</v>
      </c>
      <c r="F19" s="54" t="n">
        <f aca="false">-F15*Assumptions!F$22</f>
        <v>-7.61855238144</v>
      </c>
    </row>
    <row r="20" customFormat="false" ht="15" hidden="false" customHeight="true" outlineLevel="0" collapsed="false">
      <c r="A20" s="44" t="s">
        <v>96</v>
      </c>
      <c r="B20" s="54" t="n">
        <f aca="false">-B15*Assumptions!B$23</f>
        <v>-2.484</v>
      </c>
      <c r="C20" s="54" t="n">
        <f aca="false">-C15*Assumptions!C$23</f>
        <v>-2.84544</v>
      </c>
      <c r="D20" s="54" t="n">
        <f aca="false">-D15*Assumptions!D$23</f>
        <v>-3.384576</v>
      </c>
      <c r="E20" s="54" t="n">
        <f aca="false">-E15*Assumptions!E$23</f>
        <v>-3.945037824</v>
      </c>
      <c r="F20" s="54" t="n">
        <f aca="false">-F15*Assumptions!F$23</f>
        <v>-4.50187186176</v>
      </c>
    </row>
    <row r="21" customFormat="false" ht="15" hidden="false" customHeight="true" outlineLevel="0" collapsed="false">
      <c r="A21" s="44" t="s">
        <v>129</v>
      </c>
      <c r="B21" s="54" t="n">
        <f aca="false">SUM(B18:B20)</f>
        <v>-14.214</v>
      </c>
      <c r="C21" s="54" t="n">
        <f aca="false">SUM(C18:C20)</f>
        <v>-17.07264</v>
      </c>
      <c r="D21" s="54" t="n">
        <f aca="false">SUM(D18:D20)</f>
        <v>-20.0818176</v>
      </c>
      <c r="E21" s="54" t="n">
        <f aca="false">SUM(E18:E20)</f>
        <v>-23.106650112</v>
      </c>
      <c r="F21" s="54" t="n">
        <f aca="false">SUM(F18:F20)</f>
        <v>-25.972337664</v>
      </c>
    </row>
    <row r="22" customFormat="false" ht="15" hidden="false" customHeight="true" outlineLevel="0" collapsed="false">
      <c r="A22" s="61" t="s">
        <v>130</v>
      </c>
      <c r="B22" s="57" t="n">
        <f aca="false">B16+B21</f>
        <v>-3.45</v>
      </c>
      <c r="C22" s="57" t="n">
        <f aca="false">C16+C21</f>
        <v>-3.20112</v>
      </c>
      <c r="D22" s="57" t="n">
        <f aca="false">D16+D21</f>
        <v>-2.4820224</v>
      </c>
      <c r="E22" s="57" t="n">
        <f aca="false">E16+E21</f>
        <v>-1.127153664</v>
      </c>
      <c r="F22" s="57" t="n">
        <f aca="false">F16+F21</f>
        <v>1.03889350656</v>
      </c>
    </row>
    <row r="23" customFormat="false" ht="15" hidden="false" customHeight="true" outlineLevel="0" collapsed="false">
      <c r="A23" s="44" t="s">
        <v>142</v>
      </c>
      <c r="B23" s="56" t="n">
        <f aca="false">B22/B15</f>
        <v>-0.25</v>
      </c>
      <c r="C23" s="56" t="n">
        <f aca="false">C22/C15</f>
        <v>-0.18</v>
      </c>
      <c r="D23" s="56" t="n">
        <f aca="false">D22/D15</f>
        <v>-0.11</v>
      </c>
      <c r="E23" s="56" t="n">
        <f aca="false">E22/E15</f>
        <v>-0.0399999999999999</v>
      </c>
      <c r="F23" s="56" t="n">
        <f aca="false">F22/F15</f>
        <v>0.03</v>
      </c>
    </row>
    <row r="25" customFormat="false" ht="15" hidden="false" customHeight="true" outlineLevel="0" collapsed="false">
      <c r="A25" s="4" t="s">
        <v>143</v>
      </c>
    </row>
    <row r="26" customFormat="false" ht="15" hidden="false" customHeight="true" outlineLevel="0" collapsed="false">
      <c r="A26" s="44" t="s">
        <v>144</v>
      </c>
      <c r="B26" s="54" t="n">
        <f aca="false">-B15*Assumptions!$B$12</f>
        <v>-0.276</v>
      </c>
      <c r="C26" s="54" t="n">
        <f aca="false">-C15*Assumptions!$B$12</f>
        <v>-0.35568</v>
      </c>
      <c r="D26" s="54" t="n">
        <f aca="false">-D15*Assumptions!$B$12</f>
        <v>-0.4512768</v>
      </c>
      <c r="E26" s="54" t="n">
        <f aca="false">-E15*Assumptions!$B$12</f>
        <v>-0.563576832</v>
      </c>
      <c r="F26" s="54" t="n">
        <f aca="false">-F15*Assumptions!$B$12</f>
        <v>-0.69259567104</v>
      </c>
    </row>
    <row r="27" customFormat="false" ht="15" hidden="false" customHeight="true" outlineLevel="0" collapsed="false">
      <c r="A27" s="44" t="s">
        <v>145</v>
      </c>
      <c r="B27" s="54" t="n">
        <f aca="false">(B12-B7)*Assumptions!$B$13</f>
        <v>0.36</v>
      </c>
      <c r="C27" s="54" t="n">
        <f aca="false">(C12-C7)*Assumptions!$B$13</f>
        <v>0.4368</v>
      </c>
      <c r="D27" s="54" t="n">
        <f aca="false">(D12-D7)*Assumptions!$B$13</f>
        <v>0.519168</v>
      </c>
      <c r="E27" s="54" t="n">
        <f aca="false">(E12-E7)*Assumptions!$B$13</f>
        <v>0.60383232</v>
      </c>
      <c r="F27" s="54" t="n">
        <f aca="false">(F12-F7)*Assumptions!$B$13</f>
        <v>0.6863560704</v>
      </c>
    </row>
    <row r="28" customFormat="false" ht="15" hidden="false" customHeight="true" outlineLevel="0" collapsed="false">
      <c r="A28" s="61" t="s">
        <v>146</v>
      </c>
      <c r="B28" s="57" t="n">
        <f aca="false">B22+B26+B27</f>
        <v>-3.366</v>
      </c>
      <c r="C28" s="57" t="n">
        <f aca="false">C22+C26+C27</f>
        <v>-3.12</v>
      </c>
      <c r="D28" s="57" t="n">
        <f aca="false">D22+D26+D27</f>
        <v>-2.4141312</v>
      </c>
      <c r="E28" s="57" t="n">
        <f aca="false">E22+E26+E27</f>
        <v>-1.086898176</v>
      </c>
      <c r="F28" s="57" t="n">
        <f aca="false">F22+F26+F27</f>
        <v>1.03265390592</v>
      </c>
    </row>
    <row r="30" customFormat="false" ht="15" hidden="false" customHeight="true" outlineLevel="0" collapsed="false">
      <c r="A30" s="4" t="s">
        <v>147</v>
      </c>
    </row>
    <row r="31" customFormat="false" ht="15" hidden="false" customHeight="true" outlineLevel="0" collapsed="false">
      <c r="A31" s="44" t="s">
        <v>148</v>
      </c>
      <c r="B31" s="59" t="n">
        <f aca="false">Assumptions!$B$16</f>
        <v>240</v>
      </c>
      <c r="C31" s="59" t="n">
        <f aca="false">B34</f>
        <v>252.939130434783</v>
      </c>
      <c r="D31" s="59" t="n">
        <f aca="false">C34</f>
        <v>262.176907372401</v>
      </c>
      <c r="E31" s="59" t="n">
        <f aca="false">D34</f>
        <v>267.192465600395</v>
      </c>
      <c r="F31" s="59" t="n">
        <f aca="false">E34</f>
        <v>267.657148149265</v>
      </c>
    </row>
    <row r="32" customFormat="false" ht="15" hidden="false" customHeight="true" outlineLevel="0" collapsed="false">
      <c r="A32" s="44" t="s">
        <v>149</v>
      </c>
      <c r="B32" s="59" t="n">
        <f aca="false">B9/((B7/B31)*Assumptions!$B$17)</f>
        <v>41.7391304347826</v>
      </c>
      <c r="C32" s="59" t="n">
        <f aca="false">C9/((C7/C31)*Assumptions!$B$17)</f>
        <v>39.5904725897921</v>
      </c>
      <c r="D32" s="59" t="n">
        <f aca="false">D9/((D7/D31)*Assumptions!$B$17)</f>
        <v>36.4767871126819</v>
      </c>
      <c r="E32" s="59" t="n">
        <f aca="false">E9/((E7/E31)*Assumptions!$B$17)</f>
        <v>32.5277784209176</v>
      </c>
      <c r="F32" s="59" t="n">
        <f aca="false">F9/((F7/F31)*Assumptions!$B$17)</f>
        <v>27.9294415460102</v>
      </c>
    </row>
    <row r="33" customFormat="false" ht="15" hidden="false" customHeight="true" outlineLevel="0" collapsed="false">
      <c r="A33" s="44" t="s">
        <v>150</v>
      </c>
      <c r="B33" s="59" t="n">
        <f aca="false">-B31*(1-Assumptions!$B$10)</f>
        <v>-28.8</v>
      </c>
      <c r="C33" s="59" t="n">
        <f aca="false">-C31*(1-Assumptions!$B$10)</f>
        <v>-30.3526956521739</v>
      </c>
      <c r="D33" s="59" t="n">
        <f aca="false">-D31*(1-Assumptions!$B$10)</f>
        <v>-31.4612288846881</v>
      </c>
      <c r="E33" s="59" t="n">
        <f aca="false">-E31*(1-Assumptions!$B$10)</f>
        <v>-32.0630958720473</v>
      </c>
      <c r="F33" s="59" t="n">
        <f aca="false">-F31*(1-Assumptions!$B$10)</f>
        <v>-32.1188577779118</v>
      </c>
    </row>
    <row r="34" customFormat="false" ht="15" hidden="false" customHeight="true" outlineLevel="0" collapsed="false">
      <c r="A34" s="61" t="s">
        <v>151</v>
      </c>
      <c r="B34" s="62" t="n">
        <f aca="false">B31+B32+B33</f>
        <v>252.939130434783</v>
      </c>
      <c r="C34" s="62" t="n">
        <f aca="false">C31+C32+C33</f>
        <v>262.176907372401</v>
      </c>
      <c r="D34" s="62" t="n">
        <f aca="false">D31+D32+D33</f>
        <v>267.192465600395</v>
      </c>
      <c r="E34" s="62" t="n">
        <f aca="false">E31+E32+E33</f>
        <v>267.657148149265</v>
      </c>
      <c r="F34" s="62" t="n">
        <f aca="false">F31+F32+F33</f>
        <v>263.467731917363</v>
      </c>
    </row>
    <row r="36" customFormat="false" ht="15" hidden="false" customHeight="true" outlineLevel="0" collapsed="false">
      <c r="A36" s="50" t="s">
        <v>76</v>
      </c>
    </row>
  </sheetData>
  <mergeCells count="3">
    <mergeCell ref="A1:F1"/>
    <mergeCell ref="A2:F2"/>
    <mergeCell ref="A3:F3"/>
  </mergeCells>
  <conditionalFormatting sqref="B22:F22">
    <cfRule type="cellIs" priority="2" operator="lessThan" aboveAverage="0" equalAverage="0" bottom="0" percent="0" rank="0" text="" dxfId="11">
      <formula>0</formula>
    </cfRule>
  </conditionalFormatting>
  <printOptions headings="false" gridLines="false" gridLinesSet="true" horizontalCentered="false" verticalCentered="false"/>
  <pageMargins left="0.35" right="0.35"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All figures are hypothetical and illustrative.&amp;R&amp;8 Page &amp;P of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44"/>
    <col collapsed="false" customWidth="true" hidden="false" outlineLevel="0" max="7" min="2" style="1" width="15"/>
  </cols>
  <sheetData>
    <row r="1" customFormat="false" ht="21.75" hidden="false" customHeight="true" outlineLevel="0" collapsed="false">
      <c r="A1" s="41" t="s">
        <v>152</v>
      </c>
      <c r="B1" s="41"/>
      <c r="C1" s="41"/>
      <c r="D1" s="41"/>
      <c r="E1" s="41"/>
      <c r="F1" s="41"/>
    </row>
    <row r="2" customFormat="false" ht="15" hidden="false" customHeight="true" outlineLevel="0" collapsed="false">
      <c r="A2" s="42" t="s">
        <v>153</v>
      </c>
      <c r="B2" s="42"/>
      <c r="C2" s="42"/>
      <c r="D2" s="42"/>
      <c r="E2" s="42"/>
      <c r="F2" s="42"/>
    </row>
    <row r="3" customFormat="false" ht="15" hidden="false" customHeight="true" outlineLevel="0" collapsed="false">
      <c r="A3" s="43" t="s">
        <v>76</v>
      </c>
      <c r="B3" s="43"/>
      <c r="C3" s="43"/>
      <c r="D3" s="43"/>
      <c r="E3" s="43"/>
      <c r="F3" s="43"/>
    </row>
    <row r="5" customFormat="false" ht="15" hidden="false" customHeight="true" outlineLevel="0" collapsed="false">
      <c r="A5" s="49" t="s">
        <v>41</v>
      </c>
      <c r="B5" s="49" t="s">
        <v>89</v>
      </c>
      <c r="C5" s="49" t="s">
        <v>90</v>
      </c>
      <c r="D5" s="49" t="s">
        <v>91</v>
      </c>
      <c r="E5" s="49" t="s">
        <v>92</v>
      </c>
      <c r="F5" s="49" t="s">
        <v>93</v>
      </c>
    </row>
    <row r="6" customFormat="false" ht="15" hidden="false" customHeight="true" outlineLevel="0" collapsed="false">
      <c r="A6" s="44" t="s">
        <v>125</v>
      </c>
      <c r="B6" s="56" t="n">
        <f aca="false">'Operating Forecast'!B8</f>
        <v>0.3</v>
      </c>
      <c r="C6" s="56" t="n">
        <f aca="false">'Operating Forecast'!C8</f>
        <v>0.28</v>
      </c>
      <c r="D6" s="56" t="n">
        <f aca="false">'Operating Forecast'!D8</f>
        <v>0.26</v>
      </c>
      <c r="E6" s="56" t="n">
        <f aca="false">'Operating Forecast'!E8</f>
        <v>0.24</v>
      </c>
      <c r="F6" s="56" t="n">
        <f aca="false">'Operating Forecast'!F8</f>
        <v>0.22</v>
      </c>
    </row>
    <row r="7" customFormat="false" ht="15" hidden="false" customHeight="true" outlineLevel="0" collapsed="false">
      <c r="A7" s="44" t="s">
        <v>34</v>
      </c>
      <c r="B7" s="56" t="n">
        <f aca="false">Assumptions!$B$9</f>
        <v>1.1</v>
      </c>
      <c r="C7" s="56" t="n">
        <f aca="false">Assumptions!$B$9</f>
        <v>1.1</v>
      </c>
      <c r="D7" s="56" t="n">
        <f aca="false">Assumptions!$B$9</f>
        <v>1.1</v>
      </c>
      <c r="E7" s="56" t="n">
        <f aca="false">Assumptions!$B$9</f>
        <v>1.1</v>
      </c>
      <c r="F7" s="56" t="n">
        <f aca="false">Assumptions!$B$9</f>
        <v>1.1</v>
      </c>
    </row>
    <row r="8" customFormat="false" ht="15" hidden="false" customHeight="true" outlineLevel="0" collapsed="false">
      <c r="A8" s="44" t="s">
        <v>35</v>
      </c>
      <c r="B8" s="56" t="n">
        <f aca="false">Assumptions!$B$10</f>
        <v>0.88</v>
      </c>
      <c r="C8" s="56" t="n">
        <f aca="false">Assumptions!$B$10</f>
        <v>0.88</v>
      </c>
      <c r="D8" s="56" t="n">
        <f aca="false">Assumptions!$B$10</f>
        <v>0.88</v>
      </c>
      <c r="E8" s="56" t="n">
        <f aca="false">Assumptions!$B$10</f>
        <v>0.88</v>
      </c>
      <c r="F8" s="56" t="n">
        <f aca="false">Assumptions!$B$10</f>
        <v>0.88</v>
      </c>
    </row>
    <row r="9" customFormat="false" ht="15" hidden="false" customHeight="true" outlineLevel="0" collapsed="false">
      <c r="A9" s="44" t="s">
        <v>36</v>
      </c>
      <c r="B9" s="56" t="n">
        <f aca="false">'Operating Forecast'!B17</f>
        <v>0.78</v>
      </c>
      <c r="C9" s="56" t="n">
        <f aca="false">'Operating Forecast'!C17</f>
        <v>0.78</v>
      </c>
      <c r="D9" s="56" t="n">
        <f aca="false">'Operating Forecast'!D17</f>
        <v>0.78</v>
      </c>
      <c r="E9" s="56" t="n">
        <f aca="false">'Operating Forecast'!E17</f>
        <v>0.78</v>
      </c>
      <c r="F9" s="56" t="n">
        <f aca="false">'Operating Forecast'!F17</f>
        <v>0.78</v>
      </c>
    </row>
    <row r="10" customFormat="false" ht="15" hidden="false" customHeight="true" outlineLevel="0" collapsed="false">
      <c r="A10" s="44" t="s">
        <v>154</v>
      </c>
      <c r="B10" s="63" t="n">
        <f aca="false">-'Operating Forecast'!B18/(('Operating Forecast'!B9+'Operating Forecast'!B10)*Assumptions!$B$11)*12</f>
        <v>23.1684981684982</v>
      </c>
      <c r="C10" s="63" t="n">
        <f aca="false">-'Operating Forecast'!C18/(('Operating Forecast'!C9+'Operating Forecast'!C10)*Assumptions!$B$11)*12</f>
        <v>22.8</v>
      </c>
      <c r="D10" s="63" t="n">
        <f aca="false">-'Operating Forecast'!D18/(('Operating Forecast'!D9+'Operating Forecast'!D10)*Assumptions!$B$11)*12</f>
        <v>21.9595141700405</v>
      </c>
      <c r="E10" s="63" t="n">
        <f aca="false">-'Operating Forecast'!E18/(('Operating Forecast'!E9+'Operating Forecast'!E10)*Assumptions!$B$11)*12</f>
        <v>21.0598290598291</v>
      </c>
      <c r="F10" s="63" t="n">
        <f aca="false">-'Operating Forecast'!F18/(('Operating Forecast'!F9+'Operating Forecast'!F10)*Assumptions!$B$11)*12</f>
        <v>20.0904977375566</v>
      </c>
    </row>
    <row r="11" customFormat="false" ht="15" hidden="false" customHeight="true" outlineLevel="0" collapsed="false">
      <c r="A11" s="44" t="s">
        <v>155</v>
      </c>
      <c r="B11" s="64" t="n">
        <f aca="false">IF('Operating Forecast'!B28&gt;=0,"n/a",-'Operating Forecast'!B28/('Operating Forecast'!B12-'Operating Forecast'!B7))</f>
        <v>0.934999999999999</v>
      </c>
      <c r="C11" s="64" t="n">
        <f aca="false">IF('Operating Forecast'!C28&gt;=0,"n/a",-'Operating Forecast'!C28/('Operating Forecast'!C12-'Operating Forecast'!C7))</f>
        <v>0.714285714285714</v>
      </c>
      <c r="D11" s="64" t="n">
        <f aca="false">IF('Operating Forecast'!D28&gt;=0,"n/a",-'Operating Forecast'!D28/('Operating Forecast'!D12-'Operating Forecast'!D7))</f>
        <v>0.465</v>
      </c>
      <c r="E11" s="64" t="n">
        <f aca="false">IF('Operating Forecast'!E28&gt;=0,"n/a",-'Operating Forecast'!E28/('Operating Forecast'!E12-'Operating Forecast'!E7))</f>
        <v>0.18</v>
      </c>
      <c r="F11" s="64" t="str">
        <f aca="false">IF('Operating Forecast'!F28&gt;=0,"n/a",-'Operating Forecast'!F28/('Operating Forecast'!F12-'Operating Forecast'!F7))</f>
        <v>n/a</v>
      </c>
    </row>
    <row r="12" customFormat="false" ht="15" hidden="false" customHeight="true" outlineLevel="0" collapsed="false">
      <c r="A12" s="44" t="s">
        <v>156</v>
      </c>
      <c r="B12" s="65" t="n">
        <f aca="false">'Operating Forecast'!B8*100+'Operating Forecast'!B23*100</f>
        <v>5.00000000000001</v>
      </c>
      <c r="C12" s="65" t="n">
        <f aca="false">'Operating Forecast'!C8*100+'Operating Forecast'!C23*100</f>
        <v>9.99999999999999</v>
      </c>
      <c r="D12" s="65" t="n">
        <f aca="false">'Operating Forecast'!D8*100+'Operating Forecast'!D23*100</f>
        <v>15</v>
      </c>
      <c r="E12" s="65" t="n">
        <f aca="false">'Operating Forecast'!E8*100+'Operating Forecast'!E23*100</f>
        <v>20</v>
      </c>
      <c r="F12" s="65" t="n">
        <f aca="false">'Operating Forecast'!F8*100+'Operating Forecast'!F23*100</f>
        <v>25</v>
      </c>
    </row>
    <row r="13" customFormat="false" ht="15" hidden="false" customHeight="true" outlineLevel="0" collapsed="false">
      <c r="A13" s="44" t="s">
        <v>132</v>
      </c>
      <c r="B13" s="59" t="n">
        <f aca="false">'Operating Forecast'!B34</f>
        <v>252.939130434783</v>
      </c>
      <c r="C13" s="59" t="n">
        <f aca="false">'Operating Forecast'!C34</f>
        <v>262.176907372401</v>
      </c>
      <c r="D13" s="59" t="n">
        <f aca="false">'Operating Forecast'!D34</f>
        <v>267.192465600395</v>
      </c>
      <c r="E13" s="59" t="n">
        <f aca="false">'Operating Forecast'!E34</f>
        <v>267.657148149265</v>
      </c>
      <c r="F13" s="59" t="n">
        <f aca="false">'Operating Forecast'!F34</f>
        <v>263.467731917363</v>
      </c>
    </row>
    <row r="14" customFormat="false" ht="15" hidden="false" customHeight="true" outlineLevel="0" collapsed="false">
      <c r="A14" s="44" t="s">
        <v>157</v>
      </c>
      <c r="B14" s="59" t="n">
        <f aca="false">'Operating Forecast'!B12/'Operating Forecast'!B34*1000</f>
        <v>61.6749174917492</v>
      </c>
      <c r="C14" s="59" t="n">
        <f aca="false">'Operating Forecast'!C12/'Operating Forecast'!C34*1000</f>
        <v>76.162314217999</v>
      </c>
      <c r="D14" s="59" t="n">
        <f aca="false">'Operating Forecast'!D12/'Operating Forecast'!D34*1000</f>
        <v>94.1631342166216</v>
      </c>
      <c r="E14" s="59" t="n">
        <f aca="false">'Operating Forecast'!E12/'Operating Forecast'!E34*1000</f>
        <v>116.559574125783</v>
      </c>
      <c r="F14" s="59" t="n">
        <f aca="false">'Operating Forecast'!F12/'Operating Forecast'!F34*1000</f>
        <v>144.463853797239</v>
      </c>
    </row>
    <row r="15" customFormat="false" ht="15" hidden="false" customHeight="true" outlineLevel="0" collapsed="false">
      <c r="A15" s="44" t="s">
        <v>158</v>
      </c>
      <c r="B15" s="59" t="n">
        <f aca="false">'Operating Forecast'!B15/'Operating Forecast'!B34*1000</f>
        <v>54.5585808580858</v>
      </c>
      <c r="C15" s="59" t="n">
        <f aca="false">'Operating Forecast'!C15/'Operating Forecast'!C34*1000</f>
        <v>67.8320611004054</v>
      </c>
      <c r="D15" s="59" t="n">
        <f aca="false">'Operating Forecast'!D15/'Operating Forecast'!D34*1000</f>
        <v>84.4478902101448</v>
      </c>
      <c r="E15" s="59" t="n">
        <f aca="false">'Operating Forecast'!E15/'Operating Forecast'!E34*1000</f>
        <v>105.279615339417</v>
      </c>
      <c r="F15" s="59" t="n">
        <f aca="false">'Operating Forecast'!F15/'Operating Forecast'!F34*1000</f>
        <v>131.438424356504</v>
      </c>
    </row>
    <row r="17" customFormat="false" ht="57.75" hidden="false" customHeight="true" outlineLevel="0" collapsed="false">
      <c r="A17" s="60" t="s">
        <v>159</v>
      </c>
      <c r="B17" s="60"/>
      <c r="C17" s="60"/>
      <c r="D17" s="60"/>
      <c r="E17" s="60"/>
      <c r="F17" s="60"/>
    </row>
    <row r="19" customFormat="false" ht="15" hidden="false" customHeight="true" outlineLevel="0" collapsed="false">
      <c r="A19" s="50" t="s">
        <v>76</v>
      </c>
    </row>
  </sheetData>
  <mergeCells count="4">
    <mergeCell ref="A1:F1"/>
    <mergeCell ref="A2:F2"/>
    <mergeCell ref="A3:F3"/>
    <mergeCell ref="A17:F17"/>
  </mergeCells>
  <conditionalFormatting sqref="B12:F12">
    <cfRule type="cellIs" priority="2" operator="lessThan" aboveAverage="0" equalAverage="0" bottom="0" percent="0" rank="0" text="" dxfId="10">
      <formula>40</formula>
    </cfRule>
  </conditionalFormatting>
  <printOptions headings="false" gridLines="false" gridLinesSet="true" horizontalCentered="false" verticalCentered="false"/>
  <pageMargins left="0.35" right="0.35"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All figures are hypothetical and illustrative.&amp;R&amp;8 Page &amp;P of &amp;N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6BB3"/>
    <pageSetUpPr fitToPage="true"/>
  </sheetPr>
  <dimension ref="A1:D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6"/>
    <col collapsed="false" customWidth="true" hidden="false" outlineLevel="0" max="2" min="2" style="1" width="28"/>
    <col collapsed="false" customWidth="true" hidden="false" outlineLevel="0" max="3" min="3" style="1" width="16"/>
    <col collapsed="false" customWidth="true" hidden="false" outlineLevel="0" max="4" min="4" style="1" width="18"/>
  </cols>
  <sheetData>
    <row r="1" customFormat="false" ht="21.75" hidden="false" customHeight="true" outlineLevel="0" collapsed="false">
      <c r="A1" s="41" t="s">
        <v>160</v>
      </c>
      <c r="B1" s="41"/>
      <c r="C1" s="41"/>
      <c r="D1" s="41"/>
    </row>
    <row r="2" customFormat="false" ht="15" hidden="false" customHeight="true" outlineLevel="0" collapsed="false">
      <c r="A2" s="42" t="s">
        <v>161</v>
      </c>
      <c r="B2" s="42"/>
      <c r="C2" s="42"/>
      <c r="D2" s="42"/>
    </row>
    <row r="3" customFormat="false" ht="15" hidden="false" customHeight="true" outlineLevel="0" collapsed="false">
      <c r="A3" s="43" t="s">
        <v>76</v>
      </c>
      <c r="B3" s="43"/>
      <c r="C3" s="43"/>
      <c r="D3" s="43"/>
    </row>
    <row r="5" customFormat="false" ht="15" hidden="false" customHeight="true" outlineLevel="0" collapsed="false">
      <c r="A5" s="49" t="s">
        <v>162</v>
      </c>
      <c r="B5" s="49" t="s">
        <v>42</v>
      </c>
      <c r="C5" s="49" t="s">
        <v>43</v>
      </c>
      <c r="D5" s="49" t="s">
        <v>163</v>
      </c>
    </row>
    <row r="6" customFormat="false" ht="15" hidden="false" customHeight="true" outlineLevel="0" collapsed="false">
      <c r="A6" s="44" t="s">
        <v>164</v>
      </c>
      <c r="B6" s="54" t="n">
        <f aca="false">Assumptions!$B$26</f>
        <v>20</v>
      </c>
      <c r="C6" s="54" t="n">
        <f aca="false">Assumptions!$B$26</f>
        <v>20</v>
      </c>
      <c r="D6" s="54" t="n">
        <f aca="false">Assumptions!$B$26</f>
        <v>20</v>
      </c>
    </row>
    <row r="7" customFormat="false" ht="15" hidden="false" customHeight="true" outlineLevel="0" collapsed="false">
      <c r="A7" s="44" t="s">
        <v>165</v>
      </c>
      <c r="B7" s="54" t="n">
        <f aca="false">Assumptions!$B$33</f>
        <v>20</v>
      </c>
      <c r="C7" s="54" t="n">
        <f aca="false">0</f>
        <v>0</v>
      </c>
      <c r="D7" s="54" t="n">
        <f aca="false">Assumptions!$B$45</f>
        <v>8</v>
      </c>
    </row>
    <row r="8" customFormat="false" ht="15" hidden="false" customHeight="true" outlineLevel="0" collapsed="false">
      <c r="A8" s="44" t="s">
        <v>166</v>
      </c>
      <c r="B8" s="54" t="n">
        <f aca="false">0</f>
        <v>0</v>
      </c>
      <c r="C8" s="54" t="n">
        <f aca="false">Assumptions!$B$36</f>
        <v>20</v>
      </c>
      <c r="D8" s="54" t="n">
        <f aca="false">Assumptions!$B$46</f>
        <v>12</v>
      </c>
    </row>
    <row r="9" customFormat="false" ht="15" hidden="false" customHeight="true" outlineLevel="0" collapsed="false">
      <c r="A9" s="44" t="s">
        <v>167</v>
      </c>
      <c r="B9" s="56" t="n">
        <f aca="false">0</f>
        <v>0</v>
      </c>
      <c r="C9" s="56" t="n">
        <f aca="false">Assumptions!$B$39</f>
        <v>0.02</v>
      </c>
      <c r="D9" s="56" t="n">
        <f aca="false">Assumptions!$B$49</f>
        <v>0.015</v>
      </c>
    </row>
    <row r="10" customFormat="false" ht="15" hidden="false" customHeight="true" outlineLevel="0" collapsed="false">
      <c r="A10" s="44" t="s">
        <v>168</v>
      </c>
      <c r="B10" s="54" t="n">
        <f aca="false">0</f>
        <v>0</v>
      </c>
      <c r="C10" s="54" t="n">
        <f aca="false">C8*C9</f>
        <v>0.4</v>
      </c>
      <c r="D10" s="54" t="n">
        <f aca="false">D8*D9</f>
        <v>0.18</v>
      </c>
    </row>
    <row r="11" customFormat="false" ht="15" hidden="false" customHeight="true" outlineLevel="0" collapsed="false">
      <c r="A11" s="44" t="s">
        <v>169</v>
      </c>
      <c r="B11" s="57" t="n">
        <f aca="false">B7+B8-B10</f>
        <v>20</v>
      </c>
      <c r="C11" s="57" t="n">
        <f aca="false">C7+C8-C10</f>
        <v>19.6</v>
      </c>
      <c r="D11" s="57" t="n">
        <f aca="false">D7+D8-D10</f>
        <v>19.82</v>
      </c>
    </row>
    <row r="12" customFormat="false" ht="15" hidden="false" customHeight="true" outlineLevel="0" collapsed="false">
      <c r="A12" s="44" t="s">
        <v>170</v>
      </c>
      <c r="B12" s="54" t="n">
        <f aca="false">-Assumptions!$B$27</f>
        <v>-3</v>
      </c>
      <c r="C12" s="54" t="n">
        <f aca="false">-Assumptions!$B$27</f>
        <v>-3</v>
      </c>
      <c r="D12" s="54" t="n">
        <f aca="false">-Assumptions!$B$27</f>
        <v>-3</v>
      </c>
    </row>
    <row r="13" customFormat="false" ht="15" hidden="false" customHeight="true" outlineLevel="0" collapsed="false">
      <c r="A13" s="44" t="s">
        <v>171</v>
      </c>
      <c r="B13" s="57" t="n">
        <f aca="false">Assumptions!$B$14+B11+B12</f>
        <v>25</v>
      </c>
      <c r="C13" s="57" t="n">
        <f aca="false">Assumptions!$B$14+C11+C12</f>
        <v>24.6</v>
      </c>
      <c r="D13" s="57" t="n">
        <f aca="false">Assumptions!$B$14+D11+D12</f>
        <v>24.82</v>
      </c>
    </row>
    <row r="15" customFormat="false" ht="15" hidden="false" customHeight="true" outlineLevel="0" collapsed="false">
      <c r="A15" s="4" t="s">
        <v>172</v>
      </c>
    </row>
    <row r="16" customFormat="false" ht="15" hidden="false" customHeight="true" outlineLevel="0" collapsed="false">
      <c r="A16" s="44" t="s">
        <v>173</v>
      </c>
      <c r="B16" s="54" t="n">
        <f aca="false">Assumptions!$B$6*Assumptions!$B$28</f>
        <v>96</v>
      </c>
      <c r="C16" s="54" t="n">
        <f aca="false">Assumptions!$B$6*Assumptions!$B$28</f>
        <v>96</v>
      </c>
      <c r="D16" s="54" t="n">
        <f aca="false">Assumptions!$B$6*Assumptions!$B$28</f>
        <v>96</v>
      </c>
    </row>
    <row r="17" customFormat="false" ht="15" hidden="false" customHeight="true" outlineLevel="0" collapsed="false">
      <c r="A17" s="44" t="s">
        <v>174</v>
      </c>
      <c r="B17" s="54" t="n">
        <f aca="false">B16+B7</f>
        <v>116</v>
      </c>
      <c r="C17" s="54" t="n">
        <f aca="false">C16</f>
        <v>96</v>
      </c>
      <c r="D17" s="54" t="n">
        <f aca="false">D16+D7</f>
        <v>104</v>
      </c>
    </row>
    <row r="18" customFormat="false" ht="15" hidden="false" customHeight="true" outlineLevel="0" collapsed="false">
      <c r="A18" s="44" t="s">
        <v>175</v>
      </c>
      <c r="B18" s="56" t="n">
        <f aca="false">B7/B17</f>
        <v>0.172413793103448</v>
      </c>
      <c r="C18" s="56" t="n">
        <f aca="false">0</f>
        <v>0</v>
      </c>
      <c r="D18" s="56" t="n">
        <f aca="false">D7/D17</f>
        <v>0.0769230769230769</v>
      </c>
    </row>
    <row r="19" customFormat="false" ht="15" hidden="false" customHeight="true" outlineLevel="0" collapsed="false">
      <c r="A19" s="44" t="s">
        <v>176</v>
      </c>
      <c r="B19" s="66" t="n">
        <f aca="false">B18</f>
        <v>0.172413793103448</v>
      </c>
      <c r="C19" s="66" t="n">
        <f aca="false">C18</f>
        <v>0</v>
      </c>
      <c r="D19" s="66" t="n">
        <f aca="false">D18</f>
        <v>0.0769230769230769</v>
      </c>
    </row>
    <row r="21" customFormat="false" ht="15" hidden="false" customHeight="true" outlineLevel="0" collapsed="false">
      <c r="A21" s="4" t="s">
        <v>177</v>
      </c>
    </row>
    <row r="22" customFormat="false" ht="15" hidden="false" customHeight="true" outlineLevel="0" collapsed="false">
      <c r="A22" s="44" t="s">
        <v>106</v>
      </c>
      <c r="B22" s="56" t="n">
        <f aca="false">0</f>
        <v>0</v>
      </c>
      <c r="C22" s="56" t="n">
        <f aca="false">Assumptions!$B$37</f>
        <v>0.115</v>
      </c>
      <c r="D22" s="56" t="n">
        <f aca="false">Assumptions!$B$47</f>
        <v>0.11</v>
      </c>
    </row>
    <row r="23" customFormat="false" ht="15" hidden="false" customHeight="true" outlineLevel="0" collapsed="false">
      <c r="A23" s="44" t="s">
        <v>107</v>
      </c>
      <c r="B23" s="56" t="n">
        <f aca="false">0</f>
        <v>0</v>
      </c>
      <c r="C23" s="56" t="n">
        <f aca="false">Assumptions!$B$38</f>
        <v>0</v>
      </c>
      <c r="D23" s="56" t="n">
        <f aca="false">Assumptions!$B$48</f>
        <v>0</v>
      </c>
    </row>
    <row r="24" customFormat="false" ht="15" hidden="false" customHeight="true" outlineLevel="0" collapsed="false">
      <c r="A24" s="44" t="s">
        <v>109</v>
      </c>
      <c r="B24" s="59" t="n">
        <f aca="false">0</f>
        <v>0</v>
      </c>
      <c r="C24" s="59" t="n">
        <f aca="false">Assumptions!$B$40</f>
        <v>5</v>
      </c>
      <c r="D24" s="59" t="n">
        <f aca="false">Assumptions!$B$50</f>
        <v>5</v>
      </c>
    </row>
    <row r="25" customFormat="false" ht="15" hidden="false" customHeight="true" outlineLevel="0" collapsed="false">
      <c r="A25" s="44" t="s">
        <v>110</v>
      </c>
      <c r="B25" s="59" t="n">
        <f aca="false">0</f>
        <v>0</v>
      </c>
      <c r="C25" s="59" t="n">
        <f aca="false">Assumptions!$B$41</f>
        <v>3</v>
      </c>
      <c r="D25" s="59" t="n">
        <f aca="false">Assumptions!$B$51</f>
        <v>3</v>
      </c>
    </row>
    <row r="26" customFormat="false" ht="15" hidden="false" customHeight="true" outlineLevel="0" collapsed="false">
      <c r="A26" s="44" t="s">
        <v>178</v>
      </c>
      <c r="B26" s="56" t="n">
        <f aca="false">0</f>
        <v>0</v>
      </c>
      <c r="C26" s="56" t="n">
        <f aca="false">Assumptions!$B$42</f>
        <v>0.05</v>
      </c>
      <c r="D26" s="56" t="n">
        <f aca="false">Assumptions!$B$52</f>
        <v>0.05</v>
      </c>
    </row>
    <row r="28" customFormat="false" ht="49.5" hidden="false" customHeight="true" outlineLevel="0" collapsed="false">
      <c r="A28" s="60" t="s">
        <v>179</v>
      </c>
      <c r="B28" s="60"/>
      <c r="C28" s="60"/>
      <c r="D28" s="60"/>
    </row>
    <row r="30" customFormat="false" ht="15" hidden="false" customHeight="true" outlineLevel="0" collapsed="false">
      <c r="A30" s="50" t="s">
        <v>76</v>
      </c>
    </row>
    <row r="32" customFormat="false" ht="18.75" hidden="false" customHeight="true" outlineLevel="0" collapsed="false">
      <c r="A32" s="14" t="s">
        <v>180</v>
      </c>
      <c r="B32" s="14"/>
      <c r="C32" s="14"/>
      <c r="D32" s="14"/>
    </row>
    <row r="33" customFormat="false" ht="21.75" hidden="false" customHeight="true" outlineLevel="0" collapsed="false">
      <c r="A33" s="19" t="s">
        <v>181</v>
      </c>
      <c r="B33" s="20" t="s">
        <v>182</v>
      </c>
      <c r="C33" s="20" t="s">
        <v>183</v>
      </c>
      <c r="D33" s="20" t="s">
        <v>184</v>
      </c>
    </row>
    <row r="34" customFormat="false" ht="15" hidden="false" customHeight="true" outlineLevel="0" collapsed="false">
      <c r="A34" s="21" t="s">
        <v>185</v>
      </c>
      <c r="B34" s="67" t="s">
        <v>186</v>
      </c>
      <c r="C34" s="22" t="n">
        <f aca="false">Assumptions!B27</f>
        <v>3</v>
      </c>
      <c r="D34" s="67" t="s">
        <v>187</v>
      </c>
    </row>
    <row r="35" customFormat="false" ht="15" hidden="false" customHeight="true" outlineLevel="0" collapsed="false">
      <c r="A35" s="25" t="s">
        <v>188</v>
      </c>
      <c r="B35" s="68" t="s">
        <v>189</v>
      </c>
      <c r="C35" s="26" t="n">
        <f aca="false">-SUM('Operating Forecast'!B28:F28)</f>
        <v>8.95437547008</v>
      </c>
      <c r="D35" s="68" t="s">
        <v>187</v>
      </c>
    </row>
    <row r="36" customFormat="false" ht="15" hidden="false" customHeight="true" outlineLevel="0" collapsed="false">
      <c r="A36" s="21" t="s">
        <v>190</v>
      </c>
      <c r="B36" s="67" t="s">
        <v>191</v>
      </c>
      <c r="C36" s="22" t="n">
        <f aca="false">SUM('Blended Capital Case'!B11:F11)</f>
        <v>7.734</v>
      </c>
      <c r="D36" s="67" t="s">
        <v>187</v>
      </c>
    </row>
    <row r="37" customFormat="false" ht="15" hidden="false" customHeight="true" outlineLevel="0" collapsed="false">
      <c r="A37" s="25" t="s">
        <v>192</v>
      </c>
      <c r="B37" s="68" t="s">
        <v>193</v>
      </c>
      <c r="C37" s="26" t="n">
        <f aca="false">Assumptions!B30</f>
        <v>5</v>
      </c>
      <c r="D37" s="68" t="s">
        <v>187</v>
      </c>
    </row>
    <row r="38" customFormat="false" ht="15" hidden="false" customHeight="true" outlineLevel="0" collapsed="false">
      <c r="A38" s="21" t="s">
        <v>194</v>
      </c>
      <c r="B38" s="67" t="s">
        <v>195</v>
      </c>
      <c r="C38" s="22" t="n">
        <f aca="false">-Assumptions!B14</f>
        <v>-8</v>
      </c>
      <c r="D38" s="67" t="s">
        <v>196</v>
      </c>
    </row>
    <row r="39" customFormat="false" ht="15" hidden="false" customHeight="true" outlineLevel="0" collapsed="false">
      <c r="A39" s="25" t="s">
        <v>197</v>
      </c>
      <c r="B39" s="68" t="s">
        <v>198</v>
      </c>
      <c r="C39" s="26" t="n">
        <f aca="false">D10</f>
        <v>0.18</v>
      </c>
      <c r="D39" s="68" t="s">
        <v>187</v>
      </c>
    </row>
    <row r="40" customFormat="false" ht="15" hidden="false" customHeight="true" outlineLevel="0" collapsed="false">
      <c r="A40" s="27" t="s">
        <v>199</v>
      </c>
      <c r="B40" s="67" t="s">
        <v>200</v>
      </c>
      <c r="C40" s="69" t="n">
        <f aca="false">SUM(C34:C39)</f>
        <v>16.86837547008</v>
      </c>
      <c r="D40" s="67" t="s">
        <v>201</v>
      </c>
    </row>
    <row r="41" customFormat="false" ht="15" hidden="false" customHeight="true" outlineLevel="0" collapsed="false">
      <c r="A41" s="25" t="s">
        <v>64</v>
      </c>
      <c r="B41" s="68" t="s">
        <v>202</v>
      </c>
      <c r="C41" s="26" t="n">
        <f aca="false">Assumptions!B26</f>
        <v>20</v>
      </c>
      <c r="D41" s="68" t="s">
        <v>203</v>
      </c>
    </row>
    <row r="42" customFormat="false" ht="15" hidden="false" customHeight="true" outlineLevel="0" collapsed="false">
      <c r="A42" s="27" t="s">
        <v>204</v>
      </c>
      <c r="B42" s="67" t="s">
        <v>205</v>
      </c>
      <c r="C42" s="38" t="n">
        <f aca="false">C41-C40</f>
        <v>3.13162452992</v>
      </c>
      <c r="D42" s="67" t="s">
        <v>206</v>
      </c>
    </row>
    <row r="43" customFormat="false" ht="15" hidden="false" customHeight="true" outlineLevel="0" collapsed="false">
      <c r="A43" s="25" t="s">
        <v>207</v>
      </c>
      <c r="B43" s="68" t="s">
        <v>208</v>
      </c>
      <c r="C43" s="26" t="n">
        <f aca="false">Assumptions!B27-SUM('Downside Case'!B17:F17)+SUM('Blended Capital Case'!B11:F11)+Assumptions!B30-Assumptions!B14+D10</f>
        <v>24.55632513792</v>
      </c>
      <c r="D43" s="68" t="s">
        <v>209</v>
      </c>
    </row>
    <row r="44" customFormat="false" ht="15" hidden="false" customHeight="true" outlineLevel="0" collapsed="false">
      <c r="A44" s="27" t="s">
        <v>210</v>
      </c>
      <c r="B44" s="67" t="s">
        <v>211</v>
      </c>
      <c r="C44" s="39" t="n">
        <f aca="false">MAX(0,C43-C41)</f>
        <v>4.55632513792</v>
      </c>
      <c r="D44" s="67" t="s">
        <v>212</v>
      </c>
    </row>
  </sheetData>
  <mergeCells count="5">
    <mergeCell ref="A1:D1"/>
    <mergeCell ref="A2:D2"/>
    <mergeCell ref="A3:D3"/>
    <mergeCell ref="A28:D28"/>
    <mergeCell ref="A32:D32"/>
  </mergeCells>
  <printOptions headings="false" gridLines="false" gridLinesSet="true" horizontalCentered="false" verticalCentered="false"/>
  <pageMargins left="0.35" right="0.35" top="0.5" bottom="0.5"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All figures are hypothetical and illustrative.&amp;R&amp;8 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44"/>
    <col collapsed="false" customWidth="true" hidden="false" outlineLevel="0" max="7" min="2" style="1" width="15"/>
  </cols>
  <sheetData>
    <row r="1" customFormat="false" ht="21.75" hidden="false" customHeight="true" outlineLevel="0" collapsed="false">
      <c r="A1" s="41" t="s">
        <v>213</v>
      </c>
      <c r="B1" s="41"/>
      <c r="C1" s="41"/>
      <c r="D1" s="41"/>
      <c r="E1" s="41"/>
      <c r="F1" s="41"/>
    </row>
    <row r="2" customFormat="false" ht="15" hidden="false" customHeight="true" outlineLevel="0" collapsed="false">
      <c r="A2" s="42" t="s">
        <v>214</v>
      </c>
      <c r="B2" s="42"/>
      <c r="C2" s="42"/>
      <c r="D2" s="42"/>
      <c r="E2" s="42"/>
      <c r="F2" s="42"/>
    </row>
    <row r="3" customFormat="false" ht="15" hidden="false" customHeight="true" outlineLevel="0" collapsed="false">
      <c r="A3" s="43" t="s">
        <v>76</v>
      </c>
      <c r="B3" s="43"/>
      <c r="C3" s="43"/>
      <c r="D3" s="43"/>
      <c r="E3" s="43"/>
      <c r="F3" s="43"/>
    </row>
    <row r="5" customFormat="false" ht="15" hidden="false" customHeight="true" outlineLevel="0" collapsed="false">
      <c r="A5" s="4" t="s">
        <v>215</v>
      </c>
    </row>
    <row r="6" customFormat="false" ht="15" hidden="false" customHeight="true" outlineLevel="0" collapsed="false">
      <c r="A6" s="49" t="s">
        <v>119</v>
      </c>
      <c r="B6" s="49" t="s">
        <v>89</v>
      </c>
      <c r="C6" s="49" t="s">
        <v>90</v>
      </c>
      <c r="D6" s="49" t="s">
        <v>91</v>
      </c>
      <c r="E6" s="49" t="s">
        <v>92</v>
      </c>
      <c r="F6" s="49" t="s">
        <v>93</v>
      </c>
    </row>
    <row r="7" customFormat="false" ht="15" hidden="false" customHeight="true" outlineLevel="0" collapsed="false">
      <c r="A7" s="44" t="s">
        <v>216</v>
      </c>
      <c r="B7" s="54" t="n">
        <f aca="false">'Capital Structures'!B13</f>
        <v>25</v>
      </c>
      <c r="C7" s="54" t="n">
        <f aca="false">B11</f>
        <v>21.634</v>
      </c>
      <c r="D7" s="54" t="n">
        <f aca="false">C11</f>
        <v>18.514</v>
      </c>
      <c r="E7" s="54" t="n">
        <f aca="false">D11</f>
        <v>16.0998688</v>
      </c>
      <c r="F7" s="54" t="n">
        <f aca="false">E11</f>
        <v>15.012970624</v>
      </c>
    </row>
    <row r="8" customFormat="false" ht="15" hidden="false" customHeight="true" outlineLevel="0" collapsed="false">
      <c r="A8" s="44" t="s">
        <v>146</v>
      </c>
      <c r="B8" s="54" t="n">
        <f aca="false">'Operating Forecast'!B28</f>
        <v>-3.366</v>
      </c>
      <c r="C8" s="54" t="n">
        <f aca="false">'Operating Forecast'!C28</f>
        <v>-3.12</v>
      </c>
      <c r="D8" s="54" t="n">
        <f aca="false">'Operating Forecast'!D28</f>
        <v>-2.4141312</v>
      </c>
      <c r="E8" s="54" t="n">
        <f aca="false">'Operating Forecast'!E28</f>
        <v>-1.086898176</v>
      </c>
      <c r="F8" s="54" t="n">
        <f aca="false">'Operating Forecast'!F28</f>
        <v>1.03265390592</v>
      </c>
    </row>
    <row r="9" customFormat="false" ht="15" hidden="false" customHeight="true" outlineLevel="0" collapsed="false">
      <c r="A9" s="44" t="s">
        <v>217</v>
      </c>
      <c r="B9" s="54" t="n">
        <f aca="false">0</f>
        <v>0</v>
      </c>
      <c r="C9" s="54" t="n">
        <f aca="false">0</f>
        <v>0</v>
      </c>
      <c r="D9" s="54" t="n">
        <f aca="false">0</f>
        <v>0</v>
      </c>
      <c r="E9" s="54" t="n">
        <f aca="false">0</f>
        <v>0</v>
      </c>
      <c r="F9" s="54" t="n">
        <f aca="false">0</f>
        <v>0</v>
      </c>
    </row>
    <row r="10" customFormat="false" ht="15" hidden="false" customHeight="true" outlineLevel="0" collapsed="false">
      <c r="A10" s="44" t="s">
        <v>218</v>
      </c>
      <c r="B10" s="54" t="n">
        <f aca="false">0</f>
        <v>0</v>
      </c>
      <c r="C10" s="54" t="n">
        <f aca="false">0</f>
        <v>0</v>
      </c>
      <c r="D10" s="54" t="n">
        <f aca="false">0</f>
        <v>0</v>
      </c>
      <c r="E10" s="54" t="n">
        <f aca="false">0</f>
        <v>0</v>
      </c>
      <c r="F10" s="54" t="n">
        <f aca="false">0</f>
        <v>0</v>
      </c>
    </row>
    <row r="11" customFormat="false" ht="15" hidden="false" customHeight="true" outlineLevel="0" collapsed="false">
      <c r="A11" s="44" t="s">
        <v>219</v>
      </c>
      <c r="B11" s="57" t="n">
        <f aca="false">SUM(B7:B10)</f>
        <v>21.634</v>
      </c>
      <c r="C11" s="57" t="n">
        <f aca="false">SUM(C7:C10)</f>
        <v>18.514</v>
      </c>
      <c r="D11" s="57" t="n">
        <f aca="false">SUM(D7:D10)</f>
        <v>16.0998688</v>
      </c>
      <c r="E11" s="57" t="n">
        <f aca="false">SUM(E7:E10)</f>
        <v>15.012970624</v>
      </c>
      <c r="F11" s="57" t="n">
        <f aca="false">SUM(F7:F10)</f>
        <v>16.04562452992</v>
      </c>
    </row>
    <row r="12" customFormat="false" ht="15" hidden="false" customHeight="true" outlineLevel="0" collapsed="false">
      <c r="A12" s="44" t="s">
        <v>220</v>
      </c>
      <c r="B12" s="54" t="n">
        <f aca="false">Assumptions!$B$30</f>
        <v>5</v>
      </c>
      <c r="C12" s="54" t="n">
        <f aca="false">Assumptions!$B$30</f>
        <v>5</v>
      </c>
      <c r="D12" s="54" t="n">
        <f aca="false">Assumptions!$B$30</f>
        <v>5</v>
      </c>
      <c r="E12" s="54" t="n">
        <f aca="false">Assumptions!$B$30</f>
        <v>5</v>
      </c>
      <c r="F12" s="54" t="n">
        <f aca="false">Assumptions!$B$30</f>
        <v>5</v>
      </c>
    </row>
    <row r="13" customFormat="false" ht="15" hidden="false" customHeight="true" outlineLevel="0" collapsed="false">
      <c r="A13" s="44" t="s">
        <v>221</v>
      </c>
      <c r="B13" s="54" t="n">
        <f aca="false">B11-B12</f>
        <v>16.634</v>
      </c>
      <c r="C13" s="54" t="n">
        <f aca="false">C11-C12</f>
        <v>13.514</v>
      </c>
      <c r="D13" s="54" t="n">
        <f aca="false">D11-D12</f>
        <v>11.0998688</v>
      </c>
      <c r="E13" s="54" t="n">
        <f aca="false">E11-E12</f>
        <v>10.012970624</v>
      </c>
      <c r="F13" s="54" t="n">
        <f aca="false">F11-F12</f>
        <v>11.04562452992</v>
      </c>
    </row>
    <row r="14" customFormat="false" ht="15" hidden="false" customHeight="true" outlineLevel="0" collapsed="false">
      <c r="A14" s="44" t="s">
        <v>222</v>
      </c>
      <c r="B14" s="55" t="str">
        <f aca="false">IF(B11&lt;B12,"BREACH","Headroom")</f>
        <v>Headroom</v>
      </c>
      <c r="C14" s="55" t="str">
        <f aca="false">IF(C11&lt;C12,"BREACH","Headroom")</f>
        <v>Headroom</v>
      </c>
      <c r="D14" s="55" t="str">
        <f aca="false">IF(D11&lt;D12,"BREACH","Headroom")</f>
        <v>Headroom</v>
      </c>
      <c r="E14" s="55" t="str">
        <f aca="false">IF(E11&lt;E12,"BREACH","Headroom")</f>
        <v>Headroom</v>
      </c>
      <c r="F14" s="55" t="str">
        <f aca="false">IF(F11&lt;F12,"BREACH","Headroom")</f>
        <v>Headroom</v>
      </c>
    </row>
    <row r="15" customFormat="false" ht="15" hidden="false" customHeight="true" outlineLevel="0" collapsed="false">
      <c r="A15" s="44" t="s">
        <v>223</v>
      </c>
      <c r="B15" s="63" t="n">
        <f aca="false">IF(B11-B7&gt;=0,"cash generative",B11/(B7-B11)*12)</f>
        <v>77.126559714795</v>
      </c>
      <c r="C15" s="63" t="n">
        <f aca="false">IF(C11-C7&gt;=0,"cash generative",C11/(C7-C11)*12)</f>
        <v>71.2076923076923</v>
      </c>
      <c r="D15" s="63" t="n">
        <f aca="false">IF(D11-D7&gt;=0,"cash generative",D11/(D7-D11)*12)</f>
        <v>80.0281383215625</v>
      </c>
      <c r="E15" s="63" t="n">
        <f aca="false">IF(E11-E7&gt;=0,"cash generative",E11/(E7-E11)*12)</f>
        <v>165.752092943065</v>
      </c>
      <c r="F15" s="63" t="str">
        <f aca="false">IF(F11-F7&gt;=0,"cash generative",F11/(F7-F11)*12)</f>
        <v>cash generative</v>
      </c>
    </row>
    <row r="17" customFormat="false" ht="15" hidden="false" customHeight="true" outlineLevel="0" collapsed="false">
      <c r="A17" s="4" t="s">
        <v>224</v>
      </c>
    </row>
    <row r="18" customFormat="false" ht="15" hidden="false" customHeight="true" outlineLevel="0" collapsed="false">
      <c r="A18" s="44" t="s">
        <v>225</v>
      </c>
      <c r="B18" s="54" t="n">
        <f aca="false">'Operating Forecast'!F12</f>
        <v>38.061563904</v>
      </c>
    </row>
    <row r="19" customFormat="false" ht="15" hidden="false" customHeight="true" outlineLevel="0" collapsed="false">
      <c r="A19" s="44" t="s">
        <v>39</v>
      </c>
      <c r="B19" s="64" t="n">
        <f aca="false">Assumptions!$B$29</f>
        <v>7</v>
      </c>
    </row>
    <row r="20" customFormat="false" ht="15" hidden="false" customHeight="true" outlineLevel="0" collapsed="false">
      <c r="A20" s="44" t="s">
        <v>226</v>
      </c>
      <c r="B20" s="54" t="n">
        <f aca="false">B18*B19</f>
        <v>266.430947328</v>
      </c>
    </row>
    <row r="21" customFormat="false" ht="15" hidden="false" customHeight="true" outlineLevel="0" collapsed="false">
      <c r="A21" s="44" t="s">
        <v>227</v>
      </c>
      <c r="B21" s="54" t="n">
        <f aca="false">F11</f>
        <v>16.04562452992</v>
      </c>
    </row>
    <row r="22" customFormat="false" ht="15" hidden="false" customHeight="true" outlineLevel="0" collapsed="false">
      <c r="A22" s="44" t="s">
        <v>228</v>
      </c>
      <c r="B22" s="54" t="n">
        <f aca="false">0</f>
        <v>0</v>
      </c>
    </row>
    <row r="23" customFormat="false" ht="15" hidden="false" customHeight="true" outlineLevel="0" collapsed="false">
      <c r="A23" s="44" t="s">
        <v>229</v>
      </c>
      <c r="B23" s="57" t="n">
        <f aca="false">B20+B21+B22</f>
        <v>282.47657185792</v>
      </c>
    </row>
    <row r="24" customFormat="false" ht="15" hidden="false" customHeight="true" outlineLevel="0" collapsed="false">
      <c r="A24" s="44" t="s">
        <v>230</v>
      </c>
      <c r="B24" s="56" t="n">
        <f aca="false">'Capital Structures'!B18</f>
        <v>0.172413793103448</v>
      </c>
    </row>
    <row r="25" customFormat="false" ht="15" hidden="false" customHeight="true" outlineLevel="0" collapsed="false">
      <c r="A25" s="44" t="s">
        <v>46</v>
      </c>
      <c r="B25" s="54" t="n">
        <f aca="false">Assumptions!$B$33</f>
        <v>20</v>
      </c>
    </row>
    <row r="26" customFormat="false" ht="15" hidden="false" customHeight="true" outlineLevel="0" collapsed="false">
      <c r="A26" s="44" t="s">
        <v>231</v>
      </c>
      <c r="B26" s="54" t="n">
        <f aca="false">B23*B24</f>
        <v>48.7028572168828</v>
      </c>
    </row>
    <row r="27" customFormat="false" ht="15" hidden="false" customHeight="true" outlineLevel="0" collapsed="false">
      <c r="A27" s="44" t="s">
        <v>55</v>
      </c>
      <c r="B27" s="70" t="n">
        <f aca="false">IF(B25=0,"n/a",B26/B25)</f>
        <v>2.43514286084414</v>
      </c>
    </row>
    <row r="28" customFormat="false" ht="15" hidden="false" customHeight="true" outlineLevel="0" collapsed="false">
      <c r="A28" s="44" t="s">
        <v>232</v>
      </c>
      <c r="B28" s="66" t="n">
        <f aca="false">IF(B25=0,"n/a",(B26/B25)^(1/5)-1)</f>
        <v>0.194826617516965</v>
      </c>
    </row>
    <row r="30" customFormat="false" ht="15" hidden="false" customHeight="true" outlineLevel="0" collapsed="false">
      <c r="A30" s="50" t="s">
        <v>76</v>
      </c>
    </row>
  </sheetData>
  <mergeCells count="3">
    <mergeCell ref="A1:F1"/>
    <mergeCell ref="A2:F2"/>
    <mergeCell ref="A3:F3"/>
  </mergeCells>
  <conditionalFormatting sqref="B11:F11">
    <cfRule type="cellIs" priority="2" operator="lessThan" aboveAverage="0" equalAverage="0" bottom="0" percent="0" rank="0" text="" dxfId="12">
      <formula>Assumptions!$B$30</formula>
    </cfRule>
  </conditionalFormatting>
  <conditionalFormatting sqref="B14:F14">
    <cfRule type="cellIs" priority="3" operator="equal" aboveAverage="0" equalAverage="0" bottom="0" percent="0" rank="0" text="" dxfId="12">
      <formula>"BREACH"</formula>
    </cfRule>
  </conditionalFormatting>
  <printOptions headings="false" gridLines="false" gridLinesSet="true" horizontalCentered="false" verticalCentered="false"/>
  <pageMargins left="0.35" right="0.35"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All figures are hypothetical and illustrative.&amp;R&amp;8 Page &amp;P of &amp;N</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44"/>
    <col collapsed="false" customWidth="true" hidden="false" outlineLevel="0" max="7" min="2" style="1" width="15"/>
  </cols>
  <sheetData>
    <row r="1" customFormat="false" ht="21.75" hidden="false" customHeight="true" outlineLevel="0" collapsed="false">
      <c r="A1" s="41" t="s">
        <v>233</v>
      </c>
      <c r="B1" s="41"/>
      <c r="C1" s="41"/>
      <c r="D1" s="41"/>
      <c r="E1" s="41"/>
      <c r="F1" s="41"/>
    </row>
    <row r="2" customFormat="false" ht="15" hidden="false" customHeight="true" outlineLevel="0" collapsed="false">
      <c r="A2" s="42" t="s">
        <v>234</v>
      </c>
      <c r="B2" s="42"/>
      <c r="C2" s="42"/>
      <c r="D2" s="42"/>
      <c r="E2" s="42"/>
      <c r="F2" s="42"/>
    </row>
    <row r="3" customFormat="false" ht="15" hidden="false" customHeight="true" outlineLevel="0" collapsed="false">
      <c r="A3" s="43" t="s">
        <v>76</v>
      </c>
      <c r="B3" s="43"/>
      <c r="C3" s="43"/>
      <c r="D3" s="43"/>
      <c r="E3" s="43"/>
      <c r="F3" s="43"/>
    </row>
    <row r="5" customFormat="false" ht="15" hidden="false" customHeight="true" outlineLevel="0" collapsed="false">
      <c r="A5" s="4" t="s">
        <v>235</v>
      </c>
    </row>
    <row r="6" customFormat="false" ht="15" hidden="false" customHeight="true" outlineLevel="0" collapsed="false">
      <c r="A6" s="49" t="s">
        <v>119</v>
      </c>
      <c r="B6" s="49" t="s">
        <v>89</v>
      </c>
      <c r="C6" s="49" t="s">
        <v>90</v>
      </c>
      <c r="D6" s="49" t="s">
        <v>91</v>
      </c>
      <c r="E6" s="49" t="s">
        <v>92</v>
      </c>
      <c r="F6" s="49" t="s">
        <v>93</v>
      </c>
    </row>
    <row r="7" customFormat="false" ht="15" hidden="false" customHeight="true" outlineLevel="0" collapsed="false">
      <c r="A7" s="44" t="s">
        <v>236</v>
      </c>
      <c r="B7" s="54" t="n">
        <f aca="false">Assumptions!$B$36</f>
        <v>20</v>
      </c>
      <c r="C7" s="54" t="n">
        <f aca="false">B12</f>
        <v>20</v>
      </c>
      <c r="D7" s="54" t="n">
        <f aca="false">C12</f>
        <v>20</v>
      </c>
      <c r="E7" s="54" t="n">
        <f aca="false">D12</f>
        <v>20</v>
      </c>
      <c r="F7" s="54" t="n">
        <f aca="false">E12</f>
        <v>19</v>
      </c>
    </row>
    <row r="8" customFormat="false" ht="15" hidden="false" customHeight="true" outlineLevel="0" collapsed="false">
      <c r="A8" s="44" t="s">
        <v>217</v>
      </c>
      <c r="B8" s="54" t="n">
        <f aca="false">B7*Assumptions!$B$37</f>
        <v>2.3</v>
      </c>
      <c r="C8" s="54" t="n">
        <f aca="false">C7*Assumptions!$B$37</f>
        <v>2.3</v>
      </c>
      <c r="D8" s="54" t="n">
        <f aca="false">D7*Assumptions!$B$37</f>
        <v>2.3</v>
      </c>
      <c r="E8" s="54" t="n">
        <f aca="false">E7*Assumptions!$B$37</f>
        <v>2.3</v>
      </c>
      <c r="F8" s="54" t="n">
        <f aca="false">F7*Assumptions!$B$37</f>
        <v>2.185</v>
      </c>
    </row>
    <row r="9" customFormat="false" ht="15" hidden="false" customHeight="true" outlineLevel="0" collapsed="false">
      <c r="A9" s="44" t="s">
        <v>237</v>
      </c>
      <c r="B9" s="54" t="n">
        <f aca="false">B7*Assumptions!$B$38</f>
        <v>0</v>
      </c>
      <c r="C9" s="54" t="n">
        <f aca="false">C7*Assumptions!$B$38</f>
        <v>0</v>
      </c>
      <c r="D9" s="54" t="n">
        <f aca="false">D7*Assumptions!$B$38</f>
        <v>0</v>
      </c>
      <c r="E9" s="54" t="n">
        <f aca="false">E7*Assumptions!$B$38</f>
        <v>0</v>
      </c>
      <c r="F9" s="54" t="n">
        <f aca="false">F7*Assumptions!$B$38</f>
        <v>0</v>
      </c>
    </row>
    <row r="10" customFormat="false" ht="15" hidden="false" customHeight="true" outlineLevel="0" collapsed="false">
      <c r="A10" s="44" t="s">
        <v>218</v>
      </c>
      <c r="B10" s="54" t="n">
        <f aca="false">IF(1&gt;Assumptions!$B$41,Assumptions!$B$36*Assumptions!$B$42,0)</f>
        <v>0</v>
      </c>
      <c r="C10" s="54" t="n">
        <f aca="false">IF(2&gt;Assumptions!$B$41,Assumptions!$B$36*Assumptions!$B$42,0)</f>
        <v>0</v>
      </c>
      <c r="D10" s="54" t="n">
        <f aca="false">IF(3&gt;Assumptions!$B$41,Assumptions!$B$36*Assumptions!$B$42,0)</f>
        <v>0</v>
      </c>
      <c r="E10" s="54" t="n">
        <f aca="false">IF(4&gt;Assumptions!$B$41,Assumptions!$B$36*Assumptions!$B$42,0)</f>
        <v>1</v>
      </c>
      <c r="F10" s="54" t="n">
        <f aca="false">IF(5&gt;Assumptions!$B$41,Assumptions!$B$36*Assumptions!$B$42,0)</f>
        <v>1</v>
      </c>
    </row>
    <row r="11" customFormat="false" ht="15" hidden="false" customHeight="true" outlineLevel="0" collapsed="false">
      <c r="A11" s="44" t="s">
        <v>238</v>
      </c>
      <c r="B11" s="57" t="n">
        <f aca="false">B8+B10</f>
        <v>2.3</v>
      </c>
      <c r="C11" s="57" t="n">
        <f aca="false">C8+C10</f>
        <v>2.3</v>
      </c>
      <c r="D11" s="57" t="n">
        <f aca="false">D8+D10</f>
        <v>2.3</v>
      </c>
      <c r="E11" s="57" t="n">
        <f aca="false">E8+E10</f>
        <v>3.3</v>
      </c>
      <c r="F11" s="57" t="n">
        <f aca="false">F8+F10</f>
        <v>3.185</v>
      </c>
    </row>
    <row r="12" customFormat="false" ht="15" hidden="false" customHeight="true" outlineLevel="0" collapsed="false">
      <c r="A12" s="44" t="s">
        <v>239</v>
      </c>
      <c r="B12" s="57" t="n">
        <f aca="false">B7+B9-B10</f>
        <v>20</v>
      </c>
      <c r="C12" s="57" t="n">
        <f aca="false">C7+C9-C10</f>
        <v>20</v>
      </c>
      <c r="D12" s="57" t="n">
        <f aca="false">D7+D9-D10</f>
        <v>20</v>
      </c>
      <c r="E12" s="57" t="n">
        <f aca="false">E7+E9-E10</f>
        <v>19</v>
      </c>
      <c r="F12" s="57" t="n">
        <f aca="false">F7+F9-F10</f>
        <v>18</v>
      </c>
    </row>
    <row r="13" customFormat="false" ht="15" hidden="false" customHeight="true" outlineLevel="0" collapsed="false">
      <c r="A13" s="44" t="s">
        <v>240</v>
      </c>
      <c r="B13" s="64" t="n">
        <f aca="false">B12/'Operating Forecast'!B12</f>
        <v>1.28205128205128</v>
      </c>
      <c r="C13" s="64" t="n">
        <f aca="false">C12/'Operating Forecast'!C12</f>
        <v>1.00160256410256</v>
      </c>
      <c r="D13" s="64" t="n">
        <f aca="false">D12/'Operating Forecast'!D12</f>
        <v>0.79492266992267</v>
      </c>
      <c r="E13" s="64" t="n">
        <f aca="false">E12/'Operating Forecast'!E12</f>
        <v>0.609013335827852</v>
      </c>
      <c r="F13" s="64" t="n">
        <f aca="false">F12/'Operating Forecast'!F12</f>
        <v>0.472918034723958</v>
      </c>
    </row>
    <row r="14" customFormat="false" ht="15" hidden="false" customHeight="true" outlineLevel="0" collapsed="false">
      <c r="A14" s="44" t="s">
        <v>241</v>
      </c>
      <c r="B14" s="64" t="n">
        <f aca="false">IF(B8=0,"n/a",'Operating Forecast'!B22/B8)</f>
        <v>-1.5</v>
      </c>
      <c r="C14" s="64" t="n">
        <f aca="false">IF(C8=0,"n/a",'Operating Forecast'!C22/C8)</f>
        <v>-1.39179130434783</v>
      </c>
      <c r="D14" s="64" t="n">
        <f aca="false">IF(D8=0,"n/a",'Operating Forecast'!D22/D8)</f>
        <v>-1.07914017391304</v>
      </c>
      <c r="E14" s="64" t="n">
        <f aca="false">IF(E8=0,"n/a",'Operating Forecast'!E22/E8)</f>
        <v>-0.490066810434782</v>
      </c>
      <c r="F14" s="64" t="n">
        <f aca="false">IF(F8=0,"n/a",'Operating Forecast'!F22/F8)</f>
        <v>0.475466135725401</v>
      </c>
    </row>
    <row r="15" customFormat="false" ht="15" hidden="false" customHeight="true" outlineLevel="0" collapsed="false">
      <c r="A15" s="44" t="s">
        <v>242</v>
      </c>
      <c r="B15" s="64" t="n">
        <f aca="false">IF(B11=0,"n/a",('Operating Forecast'!B22+'Operating Forecast'!B26)/B11)</f>
        <v>-1.62</v>
      </c>
      <c r="C15" s="64" t="n">
        <f aca="false">IF(C11=0,"n/a",('Operating Forecast'!C22+'Operating Forecast'!C26)/C11)</f>
        <v>-1.5464347826087</v>
      </c>
      <c r="D15" s="64" t="n">
        <f aca="false">IF(D11=0,"n/a",('Operating Forecast'!D22+'Operating Forecast'!D26)/D11)</f>
        <v>-1.27534747826087</v>
      </c>
      <c r="E15" s="64" t="n">
        <f aca="false">IF(E11=0,"n/a",('Operating Forecast'!E22+'Operating Forecast'!E26)/E11)</f>
        <v>-0.512342574545454</v>
      </c>
      <c r="F15" s="64" t="n">
        <f aca="false">IF(F11=0,"n/a",('Operating Forecast'!F22+'Operating Forecast'!F26)/F11)</f>
        <v>0.108727734857143</v>
      </c>
    </row>
    <row r="17" customFormat="false" ht="15" hidden="false" customHeight="true" outlineLevel="0" collapsed="false">
      <c r="A17" s="4" t="s">
        <v>215</v>
      </c>
    </row>
    <row r="18" customFormat="false" ht="15" hidden="false" customHeight="true" outlineLevel="0" collapsed="false">
      <c r="A18" s="49" t="s">
        <v>119</v>
      </c>
      <c r="B18" s="49" t="s">
        <v>89</v>
      </c>
      <c r="C18" s="49" t="s">
        <v>90</v>
      </c>
      <c r="D18" s="49" t="s">
        <v>91</v>
      </c>
      <c r="E18" s="49" t="s">
        <v>92</v>
      </c>
      <c r="F18" s="49" t="s">
        <v>93</v>
      </c>
    </row>
    <row r="19" customFormat="false" ht="15" hidden="false" customHeight="true" outlineLevel="0" collapsed="false">
      <c r="A19" s="44" t="s">
        <v>216</v>
      </c>
      <c r="B19" s="54" t="n">
        <f aca="false">'Capital Structures'!C13</f>
        <v>24.6</v>
      </c>
      <c r="C19" s="54" t="n">
        <f aca="false">B23</f>
        <v>18.934</v>
      </c>
      <c r="D19" s="54" t="n">
        <f aca="false">C23</f>
        <v>13.514</v>
      </c>
      <c r="E19" s="54" t="n">
        <f aca="false">D23</f>
        <v>8.7998688</v>
      </c>
      <c r="F19" s="54" t="n">
        <f aca="false">E23</f>
        <v>4.412970624</v>
      </c>
    </row>
    <row r="20" customFormat="false" ht="15" hidden="false" customHeight="true" outlineLevel="0" collapsed="false">
      <c r="A20" s="44" t="s">
        <v>146</v>
      </c>
      <c r="B20" s="54" t="n">
        <f aca="false">'Operating Forecast'!B28</f>
        <v>-3.366</v>
      </c>
      <c r="C20" s="54" t="n">
        <f aca="false">'Operating Forecast'!C28</f>
        <v>-3.12</v>
      </c>
      <c r="D20" s="54" t="n">
        <f aca="false">'Operating Forecast'!D28</f>
        <v>-2.4141312</v>
      </c>
      <c r="E20" s="54" t="n">
        <f aca="false">'Operating Forecast'!E28</f>
        <v>-1.086898176</v>
      </c>
      <c r="F20" s="54" t="n">
        <f aca="false">'Operating Forecast'!F28</f>
        <v>1.03265390592</v>
      </c>
    </row>
    <row r="21" customFormat="false" ht="15" hidden="false" customHeight="true" outlineLevel="0" collapsed="false">
      <c r="A21" s="44" t="s">
        <v>217</v>
      </c>
      <c r="B21" s="54" t="n">
        <f aca="false">-B8</f>
        <v>-2.3</v>
      </c>
      <c r="C21" s="54" t="n">
        <f aca="false">-C8</f>
        <v>-2.3</v>
      </c>
      <c r="D21" s="54" t="n">
        <f aca="false">-D8</f>
        <v>-2.3</v>
      </c>
      <c r="E21" s="54" t="n">
        <f aca="false">-E8</f>
        <v>-2.3</v>
      </c>
      <c r="F21" s="54" t="n">
        <f aca="false">-F8</f>
        <v>-2.185</v>
      </c>
    </row>
    <row r="22" customFormat="false" ht="15" hidden="false" customHeight="true" outlineLevel="0" collapsed="false">
      <c r="A22" s="44" t="s">
        <v>218</v>
      </c>
      <c r="B22" s="54" t="n">
        <f aca="false">-B10</f>
        <v>-0</v>
      </c>
      <c r="C22" s="54" t="n">
        <f aca="false">-C10</f>
        <v>-0</v>
      </c>
      <c r="D22" s="54" t="n">
        <f aca="false">-D10</f>
        <v>-0</v>
      </c>
      <c r="E22" s="54" t="n">
        <f aca="false">-E10</f>
        <v>-1</v>
      </c>
      <c r="F22" s="54" t="n">
        <f aca="false">-F10</f>
        <v>-1</v>
      </c>
    </row>
    <row r="23" customFormat="false" ht="15" hidden="false" customHeight="true" outlineLevel="0" collapsed="false">
      <c r="A23" s="44" t="s">
        <v>219</v>
      </c>
      <c r="B23" s="57" t="n">
        <f aca="false">SUM(B19:B22)</f>
        <v>18.934</v>
      </c>
      <c r="C23" s="57" t="n">
        <f aca="false">SUM(C19:C22)</f>
        <v>13.514</v>
      </c>
      <c r="D23" s="57" t="n">
        <f aca="false">SUM(D19:D22)</f>
        <v>8.7998688</v>
      </c>
      <c r="E23" s="57" t="n">
        <f aca="false">SUM(E19:E22)</f>
        <v>4.412970624</v>
      </c>
      <c r="F23" s="57" t="n">
        <f aca="false">SUM(F19:F22)</f>
        <v>2.26062452992</v>
      </c>
    </row>
    <row r="24" customFormat="false" ht="15" hidden="false" customHeight="true" outlineLevel="0" collapsed="false">
      <c r="A24" s="44" t="s">
        <v>220</v>
      </c>
      <c r="B24" s="54" t="n">
        <f aca="false">Assumptions!$B$30</f>
        <v>5</v>
      </c>
      <c r="C24" s="54" t="n">
        <f aca="false">Assumptions!$B$30</f>
        <v>5</v>
      </c>
      <c r="D24" s="54" t="n">
        <f aca="false">Assumptions!$B$30</f>
        <v>5</v>
      </c>
      <c r="E24" s="54" t="n">
        <f aca="false">Assumptions!$B$30</f>
        <v>5</v>
      </c>
      <c r="F24" s="54" t="n">
        <f aca="false">Assumptions!$B$30</f>
        <v>5</v>
      </c>
    </row>
    <row r="25" customFormat="false" ht="15" hidden="false" customHeight="true" outlineLevel="0" collapsed="false">
      <c r="A25" s="44" t="s">
        <v>221</v>
      </c>
      <c r="B25" s="54" t="n">
        <f aca="false">B23-B24</f>
        <v>13.934</v>
      </c>
      <c r="C25" s="54" t="n">
        <f aca="false">C23-C24</f>
        <v>8.514</v>
      </c>
      <c r="D25" s="54" t="n">
        <f aca="false">D23-D24</f>
        <v>3.7998688</v>
      </c>
      <c r="E25" s="54" t="n">
        <f aca="false">E23-E24</f>
        <v>-0.587029376000001</v>
      </c>
      <c r="F25" s="54" t="n">
        <f aca="false">F23-F24</f>
        <v>-2.73937547008</v>
      </c>
    </row>
    <row r="26" customFormat="false" ht="15" hidden="false" customHeight="true" outlineLevel="0" collapsed="false">
      <c r="A26" s="44" t="s">
        <v>222</v>
      </c>
      <c r="B26" s="55" t="str">
        <f aca="false">IF(B23&lt;B24,"BREACH","Headroom")</f>
        <v>Headroom</v>
      </c>
      <c r="C26" s="55" t="str">
        <f aca="false">IF(C23&lt;C24,"BREACH","Headroom")</f>
        <v>Headroom</v>
      </c>
      <c r="D26" s="55" t="str">
        <f aca="false">IF(D23&lt;D24,"BREACH","Headroom")</f>
        <v>Headroom</v>
      </c>
      <c r="E26" s="55" t="str">
        <f aca="false">IF(E23&lt;E24,"BREACH","Headroom")</f>
        <v>BREACH</v>
      </c>
      <c r="F26" s="55" t="str">
        <f aca="false">IF(F23&lt;F24,"BREACH","Headroom")</f>
        <v>BREACH</v>
      </c>
    </row>
    <row r="27" customFormat="false" ht="15" hidden="false" customHeight="true" outlineLevel="0" collapsed="false">
      <c r="A27" s="44" t="s">
        <v>223</v>
      </c>
      <c r="B27" s="63" t="n">
        <f aca="false">IF(B23-B19&gt;=0,"cash generative",B23/(B19-B23)*12)</f>
        <v>40.1002470878927</v>
      </c>
      <c r="C27" s="63" t="n">
        <f aca="false">IF(C23-C19&gt;=0,"cash generative",C23/(C19-C23)*12)</f>
        <v>29.920295202952</v>
      </c>
      <c r="D27" s="63" t="n">
        <f aca="false">IF(D23-D19&gt;=0,"cash generative",D23/(D19-D23)*12)</f>
        <v>22.400400226451</v>
      </c>
      <c r="E27" s="63" t="n">
        <f aca="false">IF(E23-E19&gt;=0,"cash generative",E23/(E19-E23)*12)</f>
        <v>12.0713190421678</v>
      </c>
      <c r="F27" s="63" t="n">
        <f aca="false">IF(F23-F19&gt;=0,"cash generative",F23/(F19-F23)*12)</f>
        <v>12.603686012047</v>
      </c>
    </row>
    <row r="29" customFormat="false" ht="15" hidden="false" customHeight="true" outlineLevel="0" collapsed="false">
      <c r="A29" s="4" t="s">
        <v>224</v>
      </c>
    </row>
    <row r="30" customFormat="false" ht="15" hidden="false" customHeight="true" outlineLevel="0" collapsed="false">
      <c r="A30" s="44" t="s">
        <v>225</v>
      </c>
      <c r="B30" s="54" t="n">
        <f aca="false">'Operating Forecast'!F12</f>
        <v>38.061563904</v>
      </c>
    </row>
    <row r="31" customFormat="false" ht="15" hidden="false" customHeight="true" outlineLevel="0" collapsed="false">
      <c r="A31" s="44" t="s">
        <v>39</v>
      </c>
      <c r="B31" s="64" t="n">
        <f aca="false">Assumptions!$B$29</f>
        <v>7</v>
      </c>
    </row>
    <row r="32" customFormat="false" ht="15" hidden="false" customHeight="true" outlineLevel="0" collapsed="false">
      <c r="A32" s="44" t="s">
        <v>226</v>
      </c>
      <c r="B32" s="54" t="n">
        <f aca="false">B30*B31</f>
        <v>266.430947328</v>
      </c>
    </row>
    <row r="33" customFormat="false" ht="15" hidden="false" customHeight="true" outlineLevel="0" collapsed="false">
      <c r="A33" s="44" t="s">
        <v>227</v>
      </c>
      <c r="B33" s="54" t="n">
        <f aca="false">F23</f>
        <v>2.26062452992</v>
      </c>
    </row>
    <row r="34" customFormat="false" ht="15" hidden="false" customHeight="true" outlineLevel="0" collapsed="false">
      <c r="A34" s="44" t="s">
        <v>228</v>
      </c>
      <c r="B34" s="54" t="n">
        <f aca="false">-F12</f>
        <v>-18</v>
      </c>
    </row>
    <row r="35" customFormat="false" ht="15" hidden="false" customHeight="true" outlineLevel="0" collapsed="false">
      <c r="A35" s="44" t="s">
        <v>229</v>
      </c>
      <c r="B35" s="57" t="n">
        <f aca="false">B32+B33+B34</f>
        <v>250.69157185792</v>
      </c>
    </row>
    <row r="36" customFormat="false" ht="15" hidden="false" customHeight="true" outlineLevel="0" collapsed="false">
      <c r="A36" s="44" t="s">
        <v>230</v>
      </c>
      <c r="B36" s="56" t="n">
        <f aca="false">'Capital Structures'!C18</f>
        <v>0</v>
      </c>
    </row>
    <row r="37" customFormat="false" ht="15" hidden="false" customHeight="true" outlineLevel="0" collapsed="false">
      <c r="A37" s="44" t="s">
        <v>46</v>
      </c>
      <c r="B37" s="54" t="n">
        <f aca="false">0</f>
        <v>0</v>
      </c>
    </row>
    <row r="38" customFormat="false" ht="15" hidden="false" customHeight="true" outlineLevel="0" collapsed="false">
      <c r="A38" s="44" t="s">
        <v>231</v>
      </c>
      <c r="B38" s="54" t="n">
        <f aca="false">B35*B36</f>
        <v>0</v>
      </c>
    </row>
    <row r="39" customFormat="false" ht="15" hidden="false" customHeight="true" outlineLevel="0" collapsed="false">
      <c r="A39" s="44" t="s">
        <v>55</v>
      </c>
      <c r="B39" s="70" t="str">
        <f aca="false">IF(B37=0,"n/a",B38/B37)</f>
        <v>n/a</v>
      </c>
    </row>
    <row r="40" customFormat="false" ht="15" hidden="false" customHeight="true" outlineLevel="0" collapsed="false">
      <c r="A40" s="44" t="s">
        <v>232</v>
      </c>
      <c r="B40" s="66" t="str">
        <f aca="false">IF(B37=0,"n/a",(B38/B37)^(1/5)-1)</f>
        <v>n/a</v>
      </c>
    </row>
    <row r="42" customFormat="false" ht="15" hidden="false" customHeight="true" outlineLevel="0" collapsed="false">
      <c r="A42" s="4" t="s">
        <v>243</v>
      </c>
    </row>
    <row r="43" customFormat="false" ht="15" hidden="false" customHeight="true" outlineLevel="0" collapsed="false">
      <c r="A43" s="44" t="s">
        <v>244</v>
      </c>
      <c r="B43" s="54" t="n">
        <f aca="false">Assumptions!$B$36</f>
        <v>20</v>
      </c>
    </row>
    <row r="44" customFormat="false" ht="15" hidden="false" customHeight="true" outlineLevel="0" collapsed="false">
      <c r="A44" s="44" t="s">
        <v>245</v>
      </c>
      <c r="B44" s="54" t="n">
        <f aca="false">-Assumptions!$B$36*Assumptions!$B$39</f>
        <v>-0.4</v>
      </c>
    </row>
    <row r="45" customFormat="false" ht="15" hidden="false" customHeight="true" outlineLevel="0" collapsed="false">
      <c r="A45" s="44" t="s">
        <v>246</v>
      </c>
      <c r="B45" s="57" t="n">
        <f aca="false">B43+B44</f>
        <v>19.6</v>
      </c>
    </row>
    <row r="46" customFormat="false" ht="15" hidden="false" customHeight="true" outlineLevel="0" collapsed="false">
      <c r="A46" s="44" t="s">
        <v>247</v>
      </c>
      <c r="B46" s="54" t="n">
        <f aca="false">SUM(B8:F8)</f>
        <v>11.385</v>
      </c>
    </row>
    <row r="47" customFormat="false" ht="15" hidden="false" customHeight="true" outlineLevel="0" collapsed="false">
      <c r="A47" s="44" t="s">
        <v>248</v>
      </c>
      <c r="B47" s="54" t="n">
        <f aca="false">SUM(B10:F10)</f>
        <v>2</v>
      </c>
    </row>
    <row r="48" customFormat="false" ht="15" hidden="false" customHeight="true" outlineLevel="0" collapsed="false">
      <c r="A48" s="44" t="s">
        <v>249</v>
      </c>
      <c r="B48" s="54" t="n">
        <f aca="false">F12</f>
        <v>18</v>
      </c>
    </row>
    <row r="49" customFormat="false" ht="15" hidden="false" customHeight="true" outlineLevel="0" collapsed="false">
      <c r="A49" s="44" t="s">
        <v>250</v>
      </c>
      <c r="B49" s="57" t="n">
        <f aca="false">B46+B47+B48</f>
        <v>31.385</v>
      </c>
    </row>
    <row r="50" customFormat="false" ht="15" hidden="false" customHeight="true" outlineLevel="0" collapsed="false">
      <c r="A50" s="44" t="s">
        <v>251</v>
      </c>
      <c r="B50" s="70" t="n">
        <f aca="false">B49/B45</f>
        <v>1.60127551020408</v>
      </c>
    </row>
    <row r="51" customFormat="false" ht="15" hidden="false" customHeight="true" outlineLevel="0" collapsed="false">
      <c r="A51" s="44" t="s">
        <v>252</v>
      </c>
      <c r="B51" s="55" t="str">
        <f aca="false">IF(F12&gt;0,"Yes, balance of "&amp;TEXT(F12,"0.0")&amp;"m outstanding at maturity","No")</f>
        <v>Yes, balance of 18.0m outstanding at maturity</v>
      </c>
    </row>
    <row r="53" customFormat="false" ht="15" hidden="false" customHeight="true" outlineLevel="0" collapsed="false">
      <c r="A53" s="50" t="s">
        <v>76</v>
      </c>
    </row>
  </sheetData>
  <mergeCells count="3">
    <mergeCell ref="A1:F1"/>
    <mergeCell ref="A2:F2"/>
    <mergeCell ref="A3:F3"/>
  </mergeCells>
  <conditionalFormatting sqref="B14:F15">
    <cfRule type="cellIs" priority="2" operator="lessThan" aboveAverage="0" equalAverage="0" bottom="0" percent="0" rank="0" text="" dxfId="10">
      <formula>1</formula>
    </cfRule>
  </conditionalFormatting>
  <conditionalFormatting sqref="B23:F23">
    <cfRule type="cellIs" priority="3" operator="lessThan" aboveAverage="0" equalAverage="0" bottom="0" percent="0" rank="0" text="" dxfId="12">
      <formula>Assumptions!$B$30</formula>
    </cfRule>
  </conditionalFormatting>
  <conditionalFormatting sqref="B26:F26">
    <cfRule type="cellIs" priority="4" operator="equal" aboveAverage="0" equalAverage="0" bottom="0" percent="0" rank="0" text="" dxfId="12">
      <formula>"BREACH"</formula>
    </cfRule>
  </conditionalFormatting>
  <printOptions headings="false" gridLines="false" gridLinesSet="true" horizontalCentered="false" verticalCentered="false"/>
  <pageMargins left="0.35" right="0.35"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All figures are hypothetical and illustrative.&amp;R&amp;8 Page &amp;P of &amp;N</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44"/>
    <col collapsed="false" customWidth="true" hidden="false" outlineLevel="0" max="7" min="2" style="1" width="15"/>
  </cols>
  <sheetData>
    <row r="1" customFormat="false" ht="21.75" hidden="false" customHeight="true" outlineLevel="0" collapsed="false">
      <c r="A1" s="41" t="s">
        <v>253</v>
      </c>
      <c r="B1" s="41"/>
      <c r="C1" s="41"/>
      <c r="D1" s="41"/>
      <c r="E1" s="41"/>
      <c r="F1" s="41"/>
    </row>
    <row r="2" customFormat="false" ht="15" hidden="false" customHeight="true" outlineLevel="0" collapsed="false">
      <c r="A2" s="42" t="s">
        <v>254</v>
      </c>
      <c r="B2" s="42"/>
      <c r="C2" s="42"/>
      <c r="D2" s="42"/>
      <c r="E2" s="42"/>
      <c r="F2" s="42"/>
    </row>
    <row r="3" customFormat="false" ht="15" hidden="false" customHeight="true" outlineLevel="0" collapsed="false">
      <c r="A3" s="43" t="s">
        <v>76</v>
      </c>
      <c r="B3" s="43"/>
      <c r="C3" s="43"/>
      <c r="D3" s="43"/>
      <c r="E3" s="43"/>
      <c r="F3" s="43"/>
    </row>
    <row r="5" customFormat="false" ht="15" hidden="false" customHeight="true" outlineLevel="0" collapsed="false">
      <c r="A5" s="4" t="s">
        <v>235</v>
      </c>
    </row>
    <row r="6" customFormat="false" ht="15" hidden="false" customHeight="true" outlineLevel="0" collapsed="false">
      <c r="A6" s="49" t="s">
        <v>119</v>
      </c>
      <c r="B6" s="49" t="s">
        <v>89</v>
      </c>
      <c r="C6" s="49" t="s">
        <v>90</v>
      </c>
      <c r="D6" s="49" t="s">
        <v>91</v>
      </c>
      <c r="E6" s="49" t="s">
        <v>92</v>
      </c>
      <c r="F6" s="49" t="s">
        <v>93</v>
      </c>
    </row>
    <row r="7" customFormat="false" ht="15" hidden="false" customHeight="true" outlineLevel="0" collapsed="false">
      <c r="A7" s="44" t="s">
        <v>236</v>
      </c>
      <c r="B7" s="54" t="n">
        <f aca="false">Assumptions!$B$46</f>
        <v>12</v>
      </c>
      <c r="C7" s="54" t="n">
        <f aca="false">B12</f>
        <v>12</v>
      </c>
      <c r="D7" s="54" t="n">
        <f aca="false">C12</f>
        <v>12</v>
      </c>
      <c r="E7" s="54" t="n">
        <f aca="false">D12</f>
        <v>12</v>
      </c>
      <c r="F7" s="54" t="n">
        <f aca="false">E12</f>
        <v>11.4</v>
      </c>
    </row>
    <row r="8" customFormat="false" ht="15" hidden="false" customHeight="true" outlineLevel="0" collapsed="false">
      <c r="A8" s="44" t="s">
        <v>217</v>
      </c>
      <c r="B8" s="54" t="n">
        <f aca="false">B7*Assumptions!$B$47</f>
        <v>1.32</v>
      </c>
      <c r="C8" s="54" t="n">
        <f aca="false">C7*Assumptions!$B$47</f>
        <v>1.32</v>
      </c>
      <c r="D8" s="54" t="n">
        <f aca="false">D7*Assumptions!$B$47</f>
        <v>1.32</v>
      </c>
      <c r="E8" s="54" t="n">
        <f aca="false">E7*Assumptions!$B$47</f>
        <v>1.32</v>
      </c>
      <c r="F8" s="54" t="n">
        <f aca="false">F7*Assumptions!$B$47</f>
        <v>1.254</v>
      </c>
    </row>
    <row r="9" customFormat="false" ht="15" hidden="false" customHeight="true" outlineLevel="0" collapsed="false">
      <c r="A9" s="44" t="s">
        <v>237</v>
      </c>
      <c r="B9" s="54" t="n">
        <f aca="false">B7*Assumptions!$B$48</f>
        <v>0</v>
      </c>
      <c r="C9" s="54" t="n">
        <f aca="false">C7*Assumptions!$B$48</f>
        <v>0</v>
      </c>
      <c r="D9" s="54" t="n">
        <f aca="false">D7*Assumptions!$B$48</f>
        <v>0</v>
      </c>
      <c r="E9" s="54" t="n">
        <f aca="false">E7*Assumptions!$B$48</f>
        <v>0</v>
      </c>
      <c r="F9" s="54" t="n">
        <f aca="false">F7*Assumptions!$B$48</f>
        <v>0</v>
      </c>
    </row>
    <row r="10" customFormat="false" ht="15" hidden="false" customHeight="true" outlineLevel="0" collapsed="false">
      <c r="A10" s="44" t="s">
        <v>218</v>
      </c>
      <c r="B10" s="54" t="n">
        <f aca="false">IF(1&gt;Assumptions!$B$51,Assumptions!$B$46*Assumptions!$B$52,0)</f>
        <v>0</v>
      </c>
      <c r="C10" s="54" t="n">
        <f aca="false">IF(2&gt;Assumptions!$B$51,Assumptions!$B$46*Assumptions!$B$52,0)</f>
        <v>0</v>
      </c>
      <c r="D10" s="54" t="n">
        <f aca="false">IF(3&gt;Assumptions!$B$51,Assumptions!$B$46*Assumptions!$B$52,0)</f>
        <v>0</v>
      </c>
      <c r="E10" s="54" t="n">
        <f aca="false">IF(4&gt;Assumptions!$B$51,Assumptions!$B$46*Assumptions!$B$52,0)</f>
        <v>0.6</v>
      </c>
      <c r="F10" s="54" t="n">
        <f aca="false">IF(5&gt;Assumptions!$B$51,Assumptions!$B$46*Assumptions!$B$52,0)</f>
        <v>0.6</v>
      </c>
    </row>
    <row r="11" customFormat="false" ht="15" hidden="false" customHeight="true" outlineLevel="0" collapsed="false">
      <c r="A11" s="44" t="s">
        <v>238</v>
      </c>
      <c r="B11" s="57" t="n">
        <f aca="false">B8+B10</f>
        <v>1.32</v>
      </c>
      <c r="C11" s="57" t="n">
        <f aca="false">C8+C10</f>
        <v>1.32</v>
      </c>
      <c r="D11" s="57" t="n">
        <f aca="false">D8+D10</f>
        <v>1.32</v>
      </c>
      <c r="E11" s="57" t="n">
        <f aca="false">E8+E10</f>
        <v>1.92</v>
      </c>
      <c r="F11" s="57" t="n">
        <f aca="false">F8+F10</f>
        <v>1.854</v>
      </c>
    </row>
    <row r="12" customFormat="false" ht="15" hidden="false" customHeight="true" outlineLevel="0" collapsed="false">
      <c r="A12" s="44" t="s">
        <v>239</v>
      </c>
      <c r="B12" s="57" t="n">
        <f aca="false">B7+B9-B10</f>
        <v>12</v>
      </c>
      <c r="C12" s="57" t="n">
        <f aca="false">C7+C9-C10</f>
        <v>12</v>
      </c>
      <c r="D12" s="57" t="n">
        <f aca="false">D7+D9-D10</f>
        <v>12</v>
      </c>
      <c r="E12" s="57" t="n">
        <f aca="false">E7+E9-E10</f>
        <v>11.4</v>
      </c>
      <c r="F12" s="57" t="n">
        <f aca="false">F7+F9-F10</f>
        <v>10.8</v>
      </c>
    </row>
    <row r="13" customFormat="false" ht="15" hidden="false" customHeight="true" outlineLevel="0" collapsed="false">
      <c r="A13" s="44" t="s">
        <v>240</v>
      </c>
      <c r="B13" s="64" t="n">
        <f aca="false">B12/'Operating Forecast'!B12</f>
        <v>0.769230769230769</v>
      </c>
      <c r="C13" s="64" t="n">
        <f aca="false">C12/'Operating Forecast'!C12</f>
        <v>0.600961538461538</v>
      </c>
      <c r="D13" s="64" t="n">
        <f aca="false">D12/'Operating Forecast'!D12</f>
        <v>0.476953601953602</v>
      </c>
      <c r="E13" s="64" t="n">
        <f aca="false">E12/'Operating Forecast'!E12</f>
        <v>0.365408001496711</v>
      </c>
      <c r="F13" s="64" t="n">
        <f aca="false">F12/'Operating Forecast'!F12</f>
        <v>0.283750820834375</v>
      </c>
    </row>
    <row r="14" customFormat="false" ht="15" hidden="false" customHeight="true" outlineLevel="0" collapsed="false">
      <c r="A14" s="44" t="s">
        <v>241</v>
      </c>
      <c r="B14" s="64" t="n">
        <f aca="false">IF(B8=0,"n/a",'Operating Forecast'!B22/B8)</f>
        <v>-2.61363636363636</v>
      </c>
      <c r="C14" s="64" t="n">
        <f aca="false">IF(C8=0,"n/a",'Operating Forecast'!C22/C8)</f>
        <v>-2.42509090909091</v>
      </c>
      <c r="D14" s="64" t="n">
        <f aca="false">IF(D8=0,"n/a",'Operating Forecast'!D22/D8)</f>
        <v>-1.88032</v>
      </c>
      <c r="E14" s="64" t="n">
        <f aca="false">IF(E8=0,"n/a",'Operating Forecast'!E22/E8)</f>
        <v>-0.853904290909089</v>
      </c>
      <c r="F14" s="64" t="n">
        <f aca="false">IF(F8=0,"n/a",'Operating Forecast'!F22/F8)</f>
        <v>0.828463721339714</v>
      </c>
    </row>
    <row r="15" customFormat="false" ht="15" hidden="false" customHeight="true" outlineLevel="0" collapsed="false">
      <c r="A15" s="44" t="s">
        <v>242</v>
      </c>
      <c r="B15" s="64" t="n">
        <f aca="false">IF(B11=0,"n/a",('Operating Forecast'!B22+'Operating Forecast'!B26)/B11)</f>
        <v>-2.82272727272727</v>
      </c>
      <c r="C15" s="64" t="n">
        <f aca="false">IF(C11=0,"n/a",('Operating Forecast'!C22+'Operating Forecast'!C26)/C11)</f>
        <v>-2.69454545454546</v>
      </c>
      <c r="D15" s="64" t="n">
        <f aca="false">IF(D11=0,"n/a",('Operating Forecast'!D22+'Operating Forecast'!D26)/D11)</f>
        <v>-2.22219636363637</v>
      </c>
      <c r="E15" s="64" t="n">
        <f aca="false">IF(E11=0,"n/a",('Operating Forecast'!E22+'Operating Forecast'!E26)/E11)</f>
        <v>-0.880588799999999</v>
      </c>
      <c r="F15" s="64" t="n">
        <f aca="false">IF(F11=0,"n/a",('Operating Forecast'!F22+'Operating Forecast'!F26)/F11)</f>
        <v>0.186784161553398</v>
      </c>
    </row>
    <row r="17" customFormat="false" ht="15" hidden="false" customHeight="true" outlineLevel="0" collapsed="false">
      <c r="A17" s="4" t="s">
        <v>215</v>
      </c>
    </row>
    <row r="18" customFormat="false" ht="15" hidden="false" customHeight="true" outlineLevel="0" collapsed="false">
      <c r="A18" s="49" t="s">
        <v>119</v>
      </c>
      <c r="B18" s="49" t="s">
        <v>89</v>
      </c>
      <c r="C18" s="49" t="s">
        <v>90</v>
      </c>
      <c r="D18" s="49" t="s">
        <v>91</v>
      </c>
      <c r="E18" s="49" t="s">
        <v>92</v>
      </c>
      <c r="F18" s="49" t="s">
        <v>93</v>
      </c>
    </row>
    <row r="19" customFormat="false" ht="15" hidden="false" customHeight="true" outlineLevel="0" collapsed="false">
      <c r="A19" s="44" t="s">
        <v>216</v>
      </c>
      <c r="B19" s="54" t="n">
        <f aca="false">'Capital Structures'!D13</f>
        <v>24.82</v>
      </c>
      <c r="C19" s="54" t="n">
        <f aca="false">B23</f>
        <v>20.134</v>
      </c>
      <c r="D19" s="54" t="n">
        <f aca="false">C23</f>
        <v>15.694</v>
      </c>
      <c r="E19" s="54" t="n">
        <f aca="false">D23</f>
        <v>11.9598688</v>
      </c>
      <c r="F19" s="54" t="n">
        <f aca="false">E23</f>
        <v>8.952970624</v>
      </c>
    </row>
    <row r="20" customFormat="false" ht="15" hidden="false" customHeight="true" outlineLevel="0" collapsed="false">
      <c r="A20" s="44" t="s">
        <v>146</v>
      </c>
      <c r="B20" s="54" t="n">
        <f aca="false">'Operating Forecast'!B28</f>
        <v>-3.366</v>
      </c>
      <c r="C20" s="54" t="n">
        <f aca="false">'Operating Forecast'!C28</f>
        <v>-3.12</v>
      </c>
      <c r="D20" s="54" t="n">
        <f aca="false">'Operating Forecast'!D28</f>
        <v>-2.4141312</v>
      </c>
      <c r="E20" s="54" t="n">
        <f aca="false">'Operating Forecast'!E28</f>
        <v>-1.086898176</v>
      </c>
      <c r="F20" s="54" t="n">
        <f aca="false">'Operating Forecast'!F28</f>
        <v>1.03265390592</v>
      </c>
    </row>
    <row r="21" customFormat="false" ht="15" hidden="false" customHeight="true" outlineLevel="0" collapsed="false">
      <c r="A21" s="44" t="s">
        <v>217</v>
      </c>
      <c r="B21" s="54" t="n">
        <f aca="false">-B8</f>
        <v>-1.32</v>
      </c>
      <c r="C21" s="54" t="n">
        <f aca="false">-C8</f>
        <v>-1.32</v>
      </c>
      <c r="D21" s="54" t="n">
        <f aca="false">-D8</f>
        <v>-1.32</v>
      </c>
      <c r="E21" s="54" t="n">
        <f aca="false">-E8</f>
        <v>-1.32</v>
      </c>
      <c r="F21" s="54" t="n">
        <f aca="false">-F8</f>
        <v>-1.254</v>
      </c>
    </row>
    <row r="22" customFormat="false" ht="15" hidden="false" customHeight="true" outlineLevel="0" collapsed="false">
      <c r="A22" s="44" t="s">
        <v>218</v>
      </c>
      <c r="B22" s="54" t="n">
        <f aca="false">-B10</f>
        <v>-0</v>
      </c>
      <c r="C22" s="54" t="n">
        <f aca="false">-C10</f>
        <v>-0</v>
      </c>
      <c r="D22" s="54" t="n">
        <f aca="false">-D10</f>
        <v>-0</v>
      </c>
      <c r="E22" s="54" t="n">
        <f aca="false">-E10</f>
        <v>-0.6</v>
      </c>
      <c r="F22" s="54" t="n">
        <f aca="false">-F10</f>
        <v>-0.6</v>
      </c>
    </row>
    <row r="23" customFormat="false" ht="15" hidden="false" customHeight="true" outlineLevel="0" collapsed="false">
      <c r="A23" s="44" t="s">
        <v>219</v>
      </c>
      <c r="B23" s="57" t="n">
        <f aca="false">SUM(B19:B22)</f>
        <v>20.134</v>
      </c>
      <c r="C23" s="57" t="n">
        <f aca="false">SUM(C19:C22)</f>
        <v>15.694</v>
      </c>
      <c r="D23" s="57" t="n">
        <f aca="false">SUM(D19:D22)</f>
        <v>11.9598688</v>
      </c>
      <c r="E23" s="57" t="n">
        <f aca="false">SUM(E19:E22)</f>
        <v>8.952970624</v>
      </c>
      <c r="F23" s="57" t="n">
        <f aca="false">SUM(F19:F22)</f>
        <v>8.13162452992</v>
      </c>
    </row>
    <row r="24" customFormat="false" ht="15" hidden="false" customHeight="true" outlineLevel="0" collapsed="false">
      <c r="A24" s="44" t="s">
        <v>220</v>
      </c>
      <c r="B24" s="54" t="n">
        <f aca="false">Assumptions!$B$30</f>
        <v>5</v>
      </c>
      <c r="C24" s="54" t="n">
        <f aca="false">Assumptions!$B$30</f>
        <v>5</v>
      </c>
      <c r="D24" s="54" t="n">
        <f aca="false">Assumptions!$B$30</f>
        <v>5</v>
      </c>
      <c r="E24" s="54" t="n">
        <f aca="false">Assumptions!$B$30</f>
        <v>5</v>
      </c>
      <c r="F24" s="54" t="n">
        <f aca="false">Assumptions!$B$30</f>
        <v>5</v>
      </c>
    </row>
    <row r="25" customFormat="false" ht="15" hidden="false" customHeight="true" outlineLevel="0" collapsed="false">
      <c r="A25" s="44" t="s">
        <v>221</v>
      </c>
      <c r="B25" s="54" t="n">
        <f aca="false">B23-B24</f>
        <v>15.134</v>
      </c>
      <c r="C25" s="54" t="n">
        <f aca="false">C23-C24</f>
        <v>10.694</v>
      </c>
      <c r="D25" s="54" t="n">
        <f aca="false">D23-D24</f>
        <v>6.9598688</v>
      </c>
      <c r="E25" s="54" t="n">
        <f aca="false">E23-E24</f>
        <v>3.952970624</v>
      </c>
      <c r="F25" s="54" t="n">
        <f aca="false">F23-F24</f>
        <v>3.13162452992</v>
      </c>
    </row>
    <row r="26" customFormat="false" ht="15" hidden="false" customHeight="true" outlineLevel="0" collapsed="false">
      <c r="A26" s="44" t="s">
        <v>222</v>
      </c>
      <c r="B26" s="55" t="str">
        <f aca="false">IF(B23&lt;B24,"BREACH","Headroom")</f>
        <v>Headroom</v>
      </c>
      <c r="C26" s="55" t="str">
        <f aca="false">IF(C23&lt;C24,"BREACH","Headroom")</f>
        <v>Headroom</v>
      </c>
      <c r="D26" s="55" t="str">
        <f aca="false">IF(D23&lt;D24,"BREACH","Headroom")</f>
        <v>Headroom</v>
      </c>
      <c r="E26" s="55" t="str">
        <f aca="false">IF(E23&lt;E24,"BREACH","Headroom")</f>
        <v>Headroom</v>
      </c>
      <c r="F26" s="55" t="str">
        <f aca="false">IF(F23&lt;F24,"BREACH","Headroom")</f>
        <v>Headroom</v>
      </c>
    </row>
    <row r="27" customFormat="false" ht="15" hidden="false" customHeight="true" outlineLevel="0" collapsed="false">
      <c r="A27" s="44" t="s">
        <v>223</v>
      </c>
      <c r="B27" s="63" t="n">
        <f aca="false">IF(B23-B19&gt;=0,"cash generative",B23/(B19-B23)*12)</f>
        <v>51.5595390524968</v>
      </c>
      <c r="C27" s="63" t="n">
        <f aca="false">IF(C23-C19&gt;=0,"cash generative",C23/(C19-C23)*12)</f>
        <v>42.4162162162162</v>
      </c>
      <c r="D27" s="63" t="n">
        <f aca="false">IF(D23-D19&gt;=0,"cash generative",D23/(D19-D23)*12)</f>
        <v>38.4342214863795</v>
      </c>
      <c r="E27" s="63" t="n">
        <f aca="false">IF(E23-E19&gt;=0,"cash generative",E23/(E19-E23)*12)</f>
        <v>35.7297258502178</v>
      </c>
      <c r="F27" s="63" t="n">
        <f aca="false">IF(F23-F19&gt;=0,"cash generative",F23/(F19-F23)*12)</f>
        <v>118.804356728987</v>
      </c>
    </row>
    <row r="29" customFormat="false" ht="15" hidden="false" customHeight="true" outlineLevel="0" collapsed="false">
      <c r="A29" s="4" t="s">
        <v>224</v>
      </c>
    </row>
    <row r="30" customFormat="false" ht="15" hidden="false" customHeight="true" outlineLevel="0" collapsed="false">
      <c r="A30" s="44" t="s">
        <v>225</v>
      </c>
      <c r="B30" s="54" t="n">
        <f aca="false">'Operating Forecast'!F12</f>
        <v>38.061563904</v>
      </c>
    </row>
    <row r="31" customFormat="false" ht="15" hidden="false" customHeight="true" outlineLevel="0" collapsed="false">
      <c r="A31" s="44" t="s">
        <v>39</v>
      </c>
      <c r="B31" s="64" t="n">
        <f aca="false">Assumptions!$B$29</f>
        <v>7</v>
      </c>
    </row>
    <row r="32" customFormat="false" ht="15" hidden="false" customHeight="true" outlineLevel="0" collapsed="false">
      <c r="A32" s="44" t="s">
        <v>226</v>
      </c>
      <c r="B32" s="54" t="n">
        <f aca="false">B30*B31</f>
        <v>266.430947328</v>
      </c>
    </row>
    <row r="33" customFormat="false" ht="15" hidden="false" customHeight="true" outlineLevel="0" collapsed="false">
      <c r="A33" s="44" t="s">
        <v>227</v>
      </c>
      <c r="B33" s="54" t="n">
        <f aca="false">F23</f>
        <v>8.13162452992</v>
      </c>
    </row>
    <row r="34" customFormat="false" ht="15" hidden="false" customHeight="true" outlineLevel="0" collapsed="false">
      <c r="A34" s="44" t="s">
        <v>228</v>
      </c>
      <c r="B34" s="54" t="n">
        <f aca="false">-F12</f>
        <v>-10.8</v>
      </c>
    </row>
    <row r="35" customFormat="false" ht="15" hidden="false" customHeight="true" outlineLevel="0" collapsed="false">
      <c r="A35" s="44" t="s">
        <v>229</v>
      </c>
      <c r="B35" s="57" t="n">
        <f aca="false">B32+B33+B34</f>
        <v>263.76257185792</v>
      </c>
    </row>
    <row r="36" customFormat="false" ht="15" hidden="false" customHeight="true" outlineLevel="0" collapsed="false">
      <c r="A36" s="44" t="s">
        <v>230</v>
      </c>
      <c r="B36" s="56" t="n">
        <f aca="false">'Capital Structures'!D18</f>
        <v>0.0769230769230769</v>
      </c>
    </row>
    <row r="37" customFormat="false" ht="15" hidden="false" customHeight="true" outlineLevel="0" collapsed="false">
      <c r="A37" s="44" t="s">
        <v>46</v>
      </c>
      <c r="B37" s="54" t="n">
        <f aca="false">Assumptions!$B$45</f>
        <v>8</v>
      </c>
    </row>
    <row r="38" customFormat="false" ht="15" hidden="false" customHeight="true" outlineLevel="0" collapsed="false">
      <c r="A38" s="44" t="s">
        <v>231</v>
      </c>
      <c r="B38" s="54" t="n">
        <f aca="false">B35*B36</f>
        <v>20.2894286044554</v>
      </c>
    </row>
    <row r="39" customFormat="false" ht="15" hidden="false" customHeight="true" outlineLevel="0" collapsed="false">
      <c r="A39" s="44" t="s">
        <v>55</v>
      </c>
      <c r="B39" s="70" t="n">
        <f aca="false">IF(B37=0,"n/a",B38/B37)</f>
        <v>2.53617857555692</v>
      </c>
    </row>
    <row r="40" customFormat="false" ht="15" hidden="false" customHeight="true" outlineLevel="0" collapsed="false">
      <c r="A40" s="44" t="s">
        <v>232</v>
      </c>
      <c r="B40" s="66" t="n">
        <f aca="false">IF(B37=0,"n/a",(B38/B37)^(1/5)-1)</f>
        <v>0.204580881267541</v>
      </c>
    </row>
    <row r="42" customFormat="false" ht="15" hidden="false" customHeight="true" outlineLevel="0" collapsed="false">
      <c r="A42" s="4" t="s">
        <v>243</v>
      </c>
    </row>
    <row r="43" customFormat="false" ht="15" hidden="false" customHeight="true" outlineLevel="0" collapsed="false">
      <c r="A43" s="44" t="s">
        <v>244</v>
      </c>
      <c r="B43" s="54" t="n">
        <f aca="false">Assumptions!$B$46</f>
        <v>12</v>
      </c>
    </row>
    <row r="44" customFormat="false" ht="15" hidden="false" customHeight="true" outlineLevel="0" collapsed="false">
      <c r="A44" s="44" t="s">
        <v>245</v>
      </c>
      <c r="B44" s="54" t="n">
        <f aca="false">-Assumptions!$B$46*Assumptions!$B$49</f>
        <v>-0.18</v>
      </c>
    </row>
    <row r="45" customFormat="false" ht="15" hidden="false" customHeight="true" outlineLevel="0" collapsed="false">
      <c r="A45" s="44" t="s">
        <v>246</v>
      </c>
      <c r="B45" s="57" t="n">
        <f aca="false">B43+B44</f>
        <v>11.82</v>
      </c>
    </row>
    <row r="46" customFormat="false" ht="15" hidden="false" customHeight="true" outlineLevel="0" collapsed="false">
      <c r="A46" s="44" t="s">
        <v>247</v>
      </c>
      <c r="B46" s="54" t="n">
        <f aca="false">SUM(B8:F8)</f>
        <v>6.534</v>
      </c>
    </row>
    <row r="47" customFormat="false" ht="15" hidden="false" customHeight="true" outlineLevel="0" collapsed="false">
      <c r="A47" s="44" t="s">
        <v>248</v>
      </c>
      <c r="B47" s="54" t="n">
        <f aca="false">SUM(B10:F10)</f>
        <v>1.2</v>
      </c>
    </row>
    <row r="48" customFormat="false" ht="15" hidden="false" customHeight="true" outlineLevel="0" collapsed="false">
      <c r="A48" s="44" t="s">
        <v>249</v>
      </c>
      <c r="B48" s="54" t="n">
        <f aca="false">F12</f>
        <v>10.8</v>
      </c>
    </row>
    <row r="49" customFormat="false" ht="15" hidden="false" customHeight="true" outlineLevel="0" collapsed="false">
      <c r="A49" s="44" t="s">
        <v>250</v>
      </c>
      <c r="B49" s="57" t="n">
        <f aca="false">B46+B47+B48</f>
        <v>18.534</v>
      </c>
    </row>
    <row r="50" customFormat="false" ht="15" hidden="false" customHeight="true" outlineLevel="0" collapsed="false">
      <c r="A50" s="44" t="s">
        <v>251</v>
      </c>
      <c r="B50" s="70" t="n">
        <f aca="false">B49/B45</f>
        <v>1.56802030456853</v>
      </c>
    </row>
    <row r="51" customFormat="false" ht="15" hidden="false" customHeight="true" outlineLevel="0" collapsed="false">
      <c r="A51" s="44" t="s">
        <v>252</v>
      </c>
      <c r="B51" s="55" t="str">
        <f aca="false">IF(F12&gt;0,"Yes, balance of "&amp;TEXT(F12,"0.0")&amp;"m outstanding at maturity","No")</f>
        <v>Yes, balance of 10.8m outstanding at maturity</v>
      </c>
    </row>
    <row r="53" customFormat="false" ht="15" hidden="false" customHeight="true" outlineLevel="0" collapsed="false">
      <c r="A53" s="50" t="s">
        <v>76</v>
      </c>
    </row>
  </sheetData>
  <mergeCells count="3">
    <mergeCell ref="A1:F1"/>
    <mergeCell ref="A2:F2"/>
    <mergeCell ref="A3:F3"/>
  </mergeCells>
  <conditionalFormatting sqref="B14:F15">
    <cfRule type="cellIs" priority="2" operator="lessThan" aboveAverage="0" equalAverage="0" bottom="0" percent="0" rank="0" text="" dxfId="10">
      <formula>1</formula>
    </cfRule>
  </conditionalFormatting>
  <conditionalFormatting sqref="B23:F23">
    <cfRule type="cellIs" priority="3" operator="lessThan" aboveAverage="0" equalAverage="0" bottom="0" percent="0" rank="0" text="" dxfId="12">
      <formula>Assumptions!$B$30</formula>
    </cfRule>
  </conditionalFormatting>
  <conditionalFormatting sqref="B26:F26">
    <cfRule type="cellIs" priority="4" operator="equal" aboveAverage="0" equalAverage="0" bottom="0" percent="0" rank="0" text="" dxfId="12">
      <formula>"BREACH"</formula>
    </cfRule>
  </conditionalFormatting>
  <printOptions headings="false" gridLines="false" gridLinesSet="true" horizontalCentered="false" verticalCentered="false"/>
  <pageMargins left="0.35" right="0.35"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All figures are hypothetical and illustrative.&amp;R&amp;8 Page &amp;P of &amp;N</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46"/>
    <col collapsed="false" customWidth="true" hidden="false" outlineLevel="0" max="7" min="2" style="1" width="15"/>
  </cols>
  <sheetData>
    <row r="1" customFormat="false" ht="21.75" hidden="false" customHeight="true" outlineLevel="0" collapsed="false">
      <c r="A1" s="41" t="s">
        <v>255</v>
      </c>
      <c r="B1" s="41"/>
      <c r="C1" s="41"/>
      <c r="D1" s="41"/>
      <c r="E1" s="41"/>
      <c r="F1" s="41"/>
    </row>
    <row r="2" customFormat="false" ht="15" hidden="false" customHeight="true" outlineLevel="0" collapsed="false">
      <c r="A2" s="42" t="s">
        <v>256</v>
      </c>
      <c r="B2" s="42"/>
      <c r="C2" s="42"/>
      <c r="D2" s="42"/>
      <c r="E2" s="42"/>
      <c r="F2" s="42"/>
    </row>
    <row r="3" customFormat="false" ht="15" hidden="false" customHeight="true" outlineLevel="0" collapsed="false">
      <c r="A3" s="43" t="s">
        <v>76</v>
      </c>
      <c r="B3" s="43"/>
      <c r="C3" s="43"/>
      <c r="D3" s="43"/>
      <c r="E3" s="43"/>
      <c r="F3" s="43"/>
    </row>
    <row r="5" customFormat="false" ht="15" hidden="false" customHeight="true" outlineLevel="0" collapsed="false">
      <c r="A5" s="4" t="s">
        <v>257</v>
      </c>
      <c r="B5" s="4"/>
      <c r="C5" s="4"/>
      <c r="D5" s="4"/>
      <c r="E5" s="4"/>
      <c r="F5" s="4"/>
    </row>
    <row r="6" customFormat="false" ht="15" hidden="false" customHeight="true" outlineLevel="0" collapsed="false">
      <c r="A6" s="49" t="s">
        <v>119</v>
      </c>
      <c r="B6" s="49" t="s">
        <v>89</v>
      </c>
      <c r="C6" s="49" t="s">
        <v>90</v>
      </c>
      <c r="D6" s="49" t="s">
        <v>91</v>
      </c>
      <c r="E6" s="49" t="s">
        <v>92</v>
      </c>
      <c r="F6" s="49" t="s">
        <v>93</v>
      </c>
    </row>
    <row r="7" customFormat="false" ht="15" hidden="false" customHeight="true" outlineLevel="0" collapsed="false">
      <c r="A7" s="44" t="s">
        <v>236</v>
      </c>
      <c r="B7" s="54" t="n">
        <f aca="false">'Private Credit Case'!B7</f>
        <v>20</v>
      </c>
      <c r="C7" s="54" t="n">
        <f aca="false">'Private Credit Case'!C7</f>
        <v>20</v>
      </c>
      <c r="D7" s="54" t="n">
        <f aca="false">'Private Credit Case'!D7</f>
        <v>20</v>
      </c>
      <c r="E7" s="54" t="n">
        <f aca="false">'Private Credit Case'!E7</f>
        <v>20</v>
      </c>
      <c r="F7" s="54" t="n">
        <f aca="false">'Private Credit Case'!F7</f>
        <v>19</v>
      </c>
    </row>
    <row r="8" customFormat="false" ht="15" hidden="false" customHeight="true" outlineLevel="0" collapsed="false">
      <c r="A8" s="44" t="s">
        <v>217</v>
      </c>
      <c r="B8" s="54" t="n">
        <f aca="false">'Private Credit Case'!B8</f>
        <v>2.3</v>
      </c>
      <c r="C8" s="54" t="n">
        <f aca="false">'Private Credit Case'!C8</f>
        <v>2.3</v>
      </c>
      <c r="D8" s="54" t="n">
        <f aca="false">'Private Credit Case'!D8</f>
        <v>2.3</v>
      </c>
      <c r="E8" s="54" t="n">
        <f aca="false">'Private Credit Case'!E8</f>
        <v>2.3</v>
      </c>
      <c r="F8" s="54" t="n">
        <f aca="false">'Private Credit Case'!F8</f>
        <v>2.185</v>
      </c>
    </row>
    <row r="9" customFormat="false" ht="15" hidden="false" customHeight="true" outlineLevel="0" collapsed="false">
      <c r="A9" s="44" t="s">
        <v>237</v>
      </c>
      <c r="B9" s="54" t="n">
        <f aca="false">'Private Credit Case'!B9</f>
        <v>0</v>
      </c>
      <c r="C9" s="54" t="n">
        <f aca="false">'Private Credit Case'!C9</f>
        <v>0</v>
      </c>
      <c r="D9" s="54" t="n">
        <f aca="false">'Private Credit Case'!D9</f>
        <v>0</v>
      </c>
      <c r="E9" s="54" t="n">
        <f aca="false">'Private Credit Case'!E9</f>
        <v>0</v>
      </c>
      <c r="F9" s="54" t="n">
        <f aca="false">'Private Credit Case'!F9</f>
        <v>0</v>
      </c>
    </row>
    <row r="10" customFormat="false" ht="15" hidden="false" customHeight="true" outlineLevel="0" collapsed="false">
      <c r="A10" s="44" t="s">
        <v>218</v>
      </c>
      <c r="B10" s="54" t="n">
        <f aca="false">'Private Credit Case'!B10</f>
        <v>0</v>
      </c>
      <c r="C10" s="54" t="n">
        <f aca="false">'Private Credit Case'!C10</f>
        <v>0</v>
      </c>
      <c r="D10" s="54" t="n">
        <f aca="false">'Private Credit Case'!D10</f>
        <v>0</v>
      </c>
      <c r="E10" s="54" t="n">
        <f aca="false">'Private Credit Case'!E10</f>
        <v>1</v>
      </c>
      <c r="F10" s="54" t="n">
        <f aca="false">'Private Credit Case'!F10</f>
        <v>1</v>
      </c>
    </row>
    <row r="11" customFormat="false" ht="15" hidden="false" customHeight="true" outlineLevel="0" collapsed="false">
      <c r="A11" s="44" t="s">
        <v>238</v>
      </c>
      <c r="B11" s="57" t="n">
        <f aca="false">'Private Credit Case'!B11</f>
        <v>2.3</v>
      </c>
      <c r="C11" s="57" t="n">
        <f aca="false">'Private Credit Case'!C11</f>
        <v>2.3</v>
      </c>
      <c r="D11" s="57" t="n">
        <f aca="false">'Private Credit Case'!D11</f>
        <v>2.3</v>
      </c>
      <c r="E11" s="57" t="n">
        <f aca="false">'Private Credit Case'!E11</f>
        <v>3.3</v>
      </c>
      <c r="F11" s="57" t="n">
        <f aca="false">'Private Credit Case'!F11</f>
        <v>3.185</v>
      </c>
    </row>
    <row r="12" customFormat="false" ht="15" hidden="false" customHeight="true" outlineLevel="0" collapsed="false">
      <c r="A12" s="44" t="s">
        <v>239</v>
      </c>
      <c r="B12" s="57" t="n">
        <f aca="false">'Private Credit Case'!B12</f>
        <v>20</v>
      </c>
      <c r="C12" s="57" t="n">
        <f aca="false">'Private Credit Case'!C12</f>
        <v>20</v>
      </c>
      <c r="D12" s="57" t="n">
        <f aca="false">'Private Credit Case'!D12</f>
        <v>20</v>
      </c>
      <c r="E12" s="57" t="n">
        <f aca="false">'Private Credit Case'!E12</f>
        <v>19</v>
      </c>
      <c r="F12" s="57" t="n">
        <f aca="false">'Private Credit Case'!F12</f>
        <v>18</v>
      </c>
    </row>
    <row r="13" customFormat="false" ht="15" hidden="false" customHeight="true" outlineLevel="0" collapsed="false">
      <c r="A13" s="44" t="s">
        <v>240</v>
      </c>
      <c r="B13" s="64" t="n">
        <f aca="false">'Private Credit Case'!B13</f>
        <v>1.28205128205128</v>
      </c>
      <c r="C13" s="64" t="n">
        <f aca="false">'Private Credit Case'!C13</f>
        <v>1.00160256410256</v>
      </c>
      <c r="D13" s="64" t="n">
        <f aca="false">'Private Credit Case'!D13</f>
        <v>0.79492266992267</v>
      </c>
      <c r="E13" s="64" t="n">
        <f aca="false">'Private Credit Case'!E13</f>
        <v>0.609013335827852</v>
      </c>
      <c r="F13" s="64" t="n">
        <f aca="false">'Private Credit Case'!F13</f>
        <v>0.472918034723958</v>
      </c>
    </row>
    <row r="14" customFormat="false" ht="15" hidden="false" customHeight="true" outlineLevel="0" collapsed="false">
      <c r="A14" s="44" t="s">
        <v>258</v>
      </c>
      <c r="B14" s="64" t="n">
        <f aca="false">'Private Credit Case'!B14</f>
        <v>-1.5</v>
      </c>
      <c r="C14" s="64" t="n">
        <f aca="false">'Private Credit Case'!C14</f>
        <v>-1.39179130434783</v>
      </c>
      <c r="D14" s="64" t="n">
        <f aca="false">'Private Credit Case'!D14</f>
        <v>-1.07914017391304</v>
      </c>
      <c r="E14" s="64" t="n">
        <f aca="false">'Private Credit Case'!E14</f>
        <v>-0.490066810434782</v>
      </c>
      <c r="F14" s="64" t="n">
        <f aca="false">'Private Credit Case'!F14</f>
        <v>0.475466135725401</v>
      </c>
    </row>
    <row r="15" customFormat="false" ht="15" hidden="false" customHeight="true" outlineLevel="0" collapsed="false">
      <c r="A15" s="44" t="s">
        <v>242</v>
      </c>
      <c r="B15" s="64" t="n">
        <f aca="false">'Private Credit Case'!B15</f>
        <v>-1.62</v>
      </c>
      <c r="C15" s="64" t="n">
        <f aca="false">'Private Credit Case'!C15</f>
        <v>-1.5464347826087</v>
      </c>
      <c r="D15" s="64" t="n">
        <f aca="false">'Private Credit Case'!D15</f>
        <v>-1.27534747826087</v>
      </c>
      <c r="E15" s="64" t="n">
        <f aca="false">'Private Credit Case'!E15</f>
        <v>-0.512342574545454</v>
      </c>
      <c r="F15" s="64" t="n">
        <f aca="false">'Private Credit Case'!F15</f>
        <v>0.108727734857143</v>
      </c>
    </row>
    <row r="17" customFormat="false" ht="15" hidden="false" customHeight="true" outlineLevel="0" collapsed="false">
      <c r="A17" s="4" t="s">
        <v>259</v>
      </c>
      <c r="B17" s="4"/>
      <c r="C17" s="4"/>
      <c r="D17" s="4"/>
      <c r="E17" s="4"/>
      <c r="F17" s="4"/>
    </row>
    <row r="18" customFormat="false" ht="15" hidden="false" customHeight="true" outlineLevel="0" collapsed="false">
      <c r="A18" s="49" t="s">
        <v>119</v>
      </c>
      <c r="B18" s="49" t="s">
        <v>89</v>
      </c>
      <c r="C18" s="49" t="s">
        <v>90</v>
      </c>
      <c r="D18" s="49" t="s">
        <v>91</v>
      </c>
      <c r="E18" s="49" t="s">
        <v>92</v>
      </c>
      <c r="F18" s="49" t="s">
        <v>93</v>
      </c>
    </row>
    <row r="19" customFormat="false" ht="15" hidden="false" customHeight="true" outlineLevel="0" collapsed="false">
      <c r="A19" s="44" t="s">
        <v>236</v>
      </c>
      <c r="B19" s="54" t="n">
        <f aca="false">'Blended Capital Case'!B7</f>
        <v>12</v>
      </c>
      <c r="C19" s="54" t="n">
        <f aca="false">'Blended Capital Case'!C7</f>
        <v>12</v>
      </c>
      <c r="D19" s="54" t="n">
        <f aca="false">'Blended Capital Case'!D7</f>
        <v>12</v>
      </c>
      <c r="E19" s="54" t="n">
        <f aca="false">'Blended Capital Case'!E7</f>
        <v>12</v>
      </c>
      <c r="F19" s="54" t="n">
        <f aca="false">'Blended Capital Case'!F7</f>
        <v>11.4</v>
      </c>
    </row>
    <row r="20" customFormat="false" ht="15" hidden="false" customHeight="true" outlineLevel="0" collapsed="false">
      <c r="A20" s="44" t="s">
        <v>217</v>
      </c>
      <c r="B20" s="54" t="n">
        <f aca="false">'Blended Capital Case'!B8</f>
        <v>1.32</v>
      </c>
      <c r="C20" s="54" t="n">
        <f aca="false">'Blended Capital Case'!C8</f>
        <v>1.32</v>
      </c>
      <c r="D20" s="54" t="n">
        <f aca="false">'Blended Capital Case'!D8</f>
        <v>1.32</v>
      </c>
      <c r="E20" s="54" t="n">
        <f aca="false">'Blended Capital Case'!E8</f>
        <v>1.32</v>
      </c>
      <c r="F20" s="54" t="n">
        <f aca="false">'Blended Capital Case'!F8</f>
        <v>1.254</v>
      </c>
    </row>
    <row r="21" customFormat="false" ht="15" hidden="false" customHeight="true" outlineLevel="0" collapsed="false">
      <c r="A21" s="44" t="s">
        <v>237</v>
      </c>
      <c r="B21" s="54" t="n">
        <f aca="false">'Blended Capital Case'!B9</f>
        <v>0</v>
      </c>
      <c r="C21" s="54" t="n">
        <f aca="false">'Blended Capital Case'!C9</f>
        <v>0</v>
      </c>
      <c r="D21" s="54" t="n">
        <f aca="false">'Blended Capital Case'!D9</f>
        <v>0</v>
      </c>
      <c r="E21" s="54" t="n">
        <f aca="false">'Blended Capital Case'!E9</f>
        <v>0</v>
      </c>
      <c r="F21" s="54" t="n">
        <f aca="false">'Blended Capital Case'!F9</f>
        <v>0</v>
      </c>
    </row>
    <row r="22" customFormat="false" ht="15" hidden="false" customHeight="true" outlineLevel="0" collapsed="false">
      <c r="A22" s="44" t="s">
        <v>218</v>
      </c>
      <c r="B22" s="54" t="n">
        <f aca="false">'Blended Capital Case'!B10</f>
        <v>0</v>
      </c>
      <c r="C22" s="54" t="n">
        <f aca="false">'Blended Capital Case'!C10</f>
        <v>0</v>
      </c>
      <c r="D22" s="54" t="n">
        <f aca="false">'Blended Capital Case'!D10</f>
        <v>0</v>
      </c>
      <c r="E22" s="54" t="n">
        <f aca="false">'Blended Capital Case'!E10</f>
        <v>0.6</v>
      </c>
      <c r="F22" s="54" t="n">
        <f aca="false">'Blended Capital Case'!F10</f>
        <v>0.6</v>
      </c>
    </row>
    <row r="23" customFormat="false" ht="15" hidden="false" customHeight="true" outlineLevel="0" collapsed="false">
      <c r="A23" s="44" t="s">
        <v>238</v>
      </c>
      <c r="B23" s="57" t="n">
        <f aca="false">'Blended Capital Case'!B11</f>
        <v>1.32</v>
      </c>
      <c r="C23" s="57" t="n">
        <f aca="false">'Blended Capital Case'!C11</f>
        <v>1.32</v>
      </c>
      <c r="D23" s="57" t="n">
        <f aca="false">'Blended Capital Case'!D11</f>
        <v>1.32</v>
      </c>
      <c r="E23" s="57" t="n">
        <f aca="false">'Blended Capital Case'!E11</f>
        <v>1.92</v>
      </c>
      <c r="F23" s="57" t="n">
        <f aca="false">'Blended Capital Case'!F11</f>
        <v>1.854</v>
      </c>
    </row>
    <row r="24" customFormat="false" ht="15" hidden="false" customHeight="true" outlineLevel="0" collapsed="false">
      <c r="A24" s="44" t="s">
        <v>239</v>
      </c>
      <c r="B24" s="57" t="n">
        <f aca="false">'Blended Capital Case'!B12</f>
        <v>12</v>
      </c>
      <c r="C24" s="57" t="n">
        <f aca="false">'Blended Capital Case'!C12</f>
        <v>12</v>
      </c>
      <c r="D24" s="57" t="n">
        <f aca="false">'Blended Capital Case'!D12</f>
        <v>12</v>
      </c>
      <c r="E24" s="57" t="n">
        <f aca="false">'Blended Capital Case'!E12</f>
        <v>11.4</v>
      </c>
      <c r="F24" s="57" t="n">
        <f aca="false">'Blended Capital Case'!F12</f>
        <v>10.8</v>
      </c>
    </row>
    <row r="25" customFormat="false" ht="15" hidden="false" customHeight="true" outlineLevel="0" collapsed="false">
      <c r="A25" s="44" t="s">
        <v>240</v>
      </c>
      <c r="B25" s="64" t="n">
        <f aca="false">'Blended Capital Case'!B13</f>
        <v>0.769230769230769</v>
      </c>
      <c r="C25" s="64" t="n">
        <f aca="false">'Blended Capital Case'!C13</f>
        <v>0.600961538461538</v>
      </c>
      <c r="D25" s="64" t="n">
        <f aca="false">'Blended Capital Case'!D13</f>
        <v>0.476953601953602</v>
      </c>
      <c r="E25" s="64" t="n">
        <f aca="false">'Blended Capital Case'!E13</f>
        <v>0.365408001496711</v>
      </c>
      <c r="F25" s="64" t="n">
        <f aca="false">'Blended Capital Case'!F13</f>
        <v>0.283750820834375</v>
      </c>
    </row>
    <row r="26" customFormat="false" ht="15" hidden="false" customHeight="true" outlineLevel="0" collapsed="false">
      <c r="A26" s="44" t="s">
        <v>258</v>
      </c>
      <c r="B26" s="64" t="n">
        <f aca="false">'Blended Capital Case'!B14</f>
        <v>-2.61363636363636</v>
      </c>
      <c r="C26" s="64" t="n">
        <f aca="false">'Blended Capital Case'!C14</f>
        <v>-2.42509090909091</v>
      </c>
      <c r="D26" s="64" t="n">
        <f aca="false">'Blended Capital Case'!D14</f>
        <v>-1.88032</v>
      </c>
      <c r="E26" s="64" t="n">
        <f aca="false">'Blended Capital Case'!E14</f>
        <v>-0.853904290909089</v>
      </c>
      <c r="F26" s="64" t="n">
        <f aca="false">'Blended Capital Case'!F14</f>
        <v>0.828463721339714</v>
      </c>
    </row>
    <row r="27" customFormat="false" ht="15" hidden="false" customHeight="true" outlineLevel="0" collapsed="false">
      <c r="A27" s="44" t="s">
        <v>242</v>
      </c>
      <c r="B27" s="64" t="n">
        <f aca="false">'Blended Capital Case'!B15</f>
        <v>-2.82272727272727</v>
      </c>
      <c r="C27" s="64" t="n">
        <f aca="false">'Blended Capital Case'!C15</f>
        <v>-2.69454545454546</v>
      </c>
      <c r="D27" s="64" t="n">
        <f aca="false">'Blended Capital Case'!D15</f>
        <v>-2.22219636363637</v>
      </c>
      <c r="E27" s="64" t="n">
        <f aca="false">'Blended Capital Case'!E15</f>
        <v>-0.880588799999999</v>
      </c>
      <c r="F27" s="64" t="n">
        <f aca="false">'Blended Capital Case'!F15</f>
        <v>0.186784161553398</v>
      </c>
    </row>
    <row r="29" customFormat="false" ht="49.5" hidden="false" customHeight="true" outlineLevel="0" collapsed="false">
      <c r="A29" s="60" t="s">
        <v>260</v>
      </c>
      <c r="B29" s="60"/>
      <c r="C29" s="60"/>
      <c r="D29" s="60"/>
      <c r="E29" s="60"/>
      <c r="F29" s="60"/>
    </row>
    <row r="31" customFormat="false" ht="15" hidden="false" customHeight="true" outlineLevel="0" collapsed="false">
      <c r="A31" s="50" t="s">
        <v>76</v>
      </c>
    </row>
  </sheetData>
  <mergeCells count="6">
    <mergeCell ref="A1:F1"/>
    <mergeCell ref="A2:F2"/>
    <mergeCell ref="A3:F3"/>
    <mergeCell ref="A5:F5"/>
    <mergeCell ref="A17:F17"/>
    <mergeCell ref="A29:F29"/>
  </mergeCells>
  <printOptions headings="false" gridLines="false" gridLinesSet="true" horizontalCentered="false" verticalCentered="false"/>
  <pageMargins left="0.35" right="0.35"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All figures are hypothetical and illustrative.&amp;R&amp;8 Page &amp;P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A57"/>
    <pageSetUpPr fitToPage="tru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46"/>
    <col collapsed="false" customWidth="true" hidden="false" outlineLevel="0" max="8" min="2" style="1" width="15"/>
  </cols>
  <sheetData>
    <row r="1" customFormat="false" ht="21.75" hidden="false" customHeight="true" outlineLevel="0" collapsed="false">
      <c r="A1" s="41" t="s">
        <v>261</v>
      </c>
      <c r="B1" s="41"/>
      <c r="C1" s="41"/>
      <c r="D1" s="41"/>
      <c r="E1" s="41"/>
      <c r="F1" s="41"/>
      <c r="G1" s="41"/>
    </row>
    <row r="2" customFormat="false" ht="15" hidden="false" customHeight="true" outlineLevel="0" collapsed="false">
      <c r="A2" s="42" t="s">
        <v>262</v>
      </c>
      <c r="B2" s="42"/>
      <c r="C2" s="42"/>
      <c r="D2" s="42"/>
      <c r="E2" s="42"/>
      <c r="F2" s="42"/>
      <c r="G2" s="42"/>
    </row>
    <row r="3" customFormat="false" ht="15" hidden="false" customHeight="true" outlineLevel="0" collapsed="false">
      <c r="A3" s="43" t="s">
        <v>76</v>
      </c>
      <c r="B3" s="43"/>
      <c r="C3" s="43"/>
      <c r="D3" s="43"/>
      <c r="E3" s="43"/>
      <c r="F3" s="43"/>
      <c r="G3" s="43"/>
    </row>
    <row r="5" customFormat="false" ht="15" hidden="false" customHeight="true" outlineLevel="0" collapsed="false">
      <c r="A5" s="4" t="s">
        <v>263</v>
      </c>
      <c r="B5" s="4"/>
      <c r="C5" s="4"/>
      <c r="D5" s="4"/>
      <c r="E5" s="4"/>
      <c r="F5" s="4"/>
      <c r="G5" s="4"/>
    </row>
    <row r="6" customFormat="false" ht="15" hidden="false" customHeight="true" outlineLevel="0" collapsed="false">
      <c r="A6" s="49" t="s">
        <v>264</v>
      </c>
      <c r="B6" s="49" t="s">
        <v>265</v>
      </c>
      <c r="C6" s="49" t="s">
        <v>89</v>
      </c>
      <c r="D6" s="49" t="s">
        <v>90</v>
      </c>
      <c r="E6" s="49" t="s">
        <v>91</v>
      </c>
      <c r="F6" s="49" t="s">
        <v>92</v>
      </c>
      <c r="G6" s="49" t="s">
        <v>93</v>
      </c>
    </row>
    <row r="7" customFormat="false" ht="15" hidden="false" customHeight="true" outlineLevel="0" collapsed="false">
      <c r="A7" s="44" t="s">
        <v>42</v>
      </c>
      <c r="B7" s="54" t="n">
        <f aca="false">-'Growth Equity Case'!B25</f>
        <v>-20</v>
      </c>
      <c r="C7" s="54" t="n">
        <v>0</v>
      </c>
      <c r="D7" s="54" t="n">
        <v>0</v>
      </c>
      <c r="E7" s="54" t="n">
        <v>0</v>
      </c>
      <c r="F7" s="54" t="n">
        <v>0</v>
      </c>
      <c r="G7" s="57" t="n">
        <f aca="false">'Growth Equity Case'!B26</f>
        <v>48.7028572168828</v>
      </c>
    </row>
    <row r="8" customFormat="false" ht="15" hidden="false" customHeight="true" outlineLevel="0" collapsed="false">
      <c r="A8" s="44" t="s">
        <v>163</v>
      </c>
      <c r="B8" s="54" t="n">
        <f aca="false">-'Blended Capital Case'!B37</f>
        <v>-8</v>
      </c>
      <c r="C8" s="54" t="n">
        <v>0</v>
      </c>
      <c r="D8" s="54" t="n">
        <v>0</v>
      </c>
      <c r="E8" s="54" t="n">
        <v>0</v>
      </c>
      <c r="F8" s="54" t="n">
        <v>0</v>
      </c>
      <c r="G8" s="57" t="n">
        <f aca="false">'Blended Capital Case'!B38</f>
        <v>20.2894286044554</v>
      </c>
    </row>
    <row r="10" customFormat="false" ht="15" hidden="false" customHeight="true" outlineLevel="0" collapsed="false">
      <c r="A10" s="4" t="s">
        <v>266</v>
      </c>
      <c r="B10" s="4"/>
      <c r="C10" s="4"/>
      <c r="D10" s="4"/>
      <c r="E10" s="4"/>
      <c r="F10" s="4"/>
      <c r="G10" s="4"/>
    </row>
    <row r="11" customFormat="false" ht="15" hidden="false" customHeight="true" outlineLevel="0" collapsed="false">
      <c r="A11" s="49" t="s">
        <v>41</v>
      </c>
      <c r="B11" s="49" t="s">
        <v>42</v>
      </c>
      <c r="C11" s="49" t="s">
        <v>43</v>
      </c>
      <c r="D11" s="49" t="s">
        <v>163</v>
      </c>
    </row>
    <row r="12" customFormat="false" ht="15" hidden="false" customHeight="true" outlineLevel="0" collapsed="false">
      <c r="A12" s="44" t="s">
        <v>46</v>
      </c>
      <c r="B12" s="54" t="n">
        <f aca="false">'Growth Equity Case'!B25</f>
        <v>20</v>
      </c>
      <c r="C12" s="54" t="n">
        <f aca="false">0</f>
        <v>0</v>
      </c>
      <c r="D12" s="54" t="n">
        <f aca="false">'Blended Capital Case'!B37</f>
        <v>8</v>
      </c>
    </row>
    <row r="13" customFormat="false" ht="15" hidden="false" customHeight="true" outlineLevel="0" collapsed="false">
      <c r="A13" s="44" t="s">
        <v>175</v>
      </c>
      <c r="B13" s="56" t="n">
        <f aca="false">'Growth Equity Case'!B24</f>
        <v>0.172413793103448</v>
      </c>
      <c r="C13" s="56" t="n">
        <f aca="false">0</f>
        <v>0</v>
      </c>
      <c r="D13" s="56" t="n">
        <f aca="false">'Blended Capital Case'!B36</f>
        <v>0.0769230769230769</v>
      </c>
    </row>
    <row r="14" customFormat="false" ht="15" hidden="false" customHeight="true" outlineLevel="0" collapsed="false">
      <c r="A14" s="44" t="s">
        <v>229</v>
      </c>
      <c r="B14" s="54" t="n">
        <f aca="false">'Growth Equity Case'!B23</f>
        <v>282.47657185792</v>
      </c>
      <c r="C14" s="54" t="n">
        <f aca="false">'Private Credit Case'!B35</f>
        <v>250.69157185792</v>
      </c>
      <c r="D14" s="54" t="n">
        <f aca="false">'Blended Capital Case'!B35</f>
        <v>263.76257185792</v>
      </c>
    </row>
    <row r="15" customFormat="false" ht="15" hidden="false" customHeight="true" outlineLevel="0" collapsed="false">
      <c r="A15" s="44" t="s">
        <v>267</v>
      </c>
      <c r="B15" s="54" t="n">
        <f aca="false">'Growth Equity Case'!B26</f>
        <v>48.7028572168828</v>
      </c>
      <c r="C15" s="54" t="n">
        <f aca="false">0</f>
        <v>0</v>
      </c>
      <c r="D15" s="54" t="n">
        <f aca="false">'Blended Capital Case'!B38</f>
        <v>20.2894286044554</v>
      </c>
    </row>
    <row r="16" customFormat="false" ht="15" hidden="false" customHeight="true" outlineLevel="0" collapsed="false">
      <c r="A16" s="44" t="s">
        <v>268</v>
      </c>
      <c r="B16" s="70" t="n">
        <f aca="false">'Growth Equity Case'!B27</f>
        <v>2.43514286084414</v>
      </c>
      <c r="C16" s="70" t="str">
        <f aca="false">"n/a"</f>
        <v>n/a</v>
      </c>
      <c r="D16" s="70" t="n">
        <f aca="false">'Blended Capital Case'!B39</f>
        <v>2.53617857555692</v>
      </c>
    </row>
    <row r="17" customFormat="false" ht="15" hidden="false" customHeight="true" outlineLevel="0" collapsed="false">
      <c r="A17" s="44" t="s">
        <v>269</v>
      </c>
      <c r="B17" s="66" t="n">
        <f aca="false">IRR(B7:G7)</f>
        <v>0.194826617516965</v>
      </c>
      <c r="C17" s="66" t="str">
        <f aca="false">"n/a"</f>
        <v>n/a</v>
      </c>
      <c r="D17" s="66" t="n">
        <f aca="false">IRR(B8:G8)</f>
        <v>0.204580881267541</v>
      </c>
    </row>
    <row r="18" customFormat="false" ht="15" hidden="false" customHeight="true" outlineLevel="0" collapsed="false">
      <c r="A18" s="44" t="s">
        <v>176</v>
      </c>
      <c r="B18" s="56" t="n">
        <f aca="false">'Capital Structures'!B19</f>
        <v>0.172413793103448</v>
      </c>
      <c r="C18" s="56" t="n">
        <f aca="false">'Capital Structures'!C19</f>
        <v>0</v>
      </c>
      <c r="D18" s="56" t="n">
        <f aca="false">'Capital Structures'!D19</f>
        <v>0.0769230769230769</v>
      </c>
    </row>
    <row r="20" customFormat="false" ht="15" hidden="false" customHeight="true" outlineLevel="0" collapsed="false">
      <c r="A20" s="4" t="s">
        <v>270</v>
      </c>
      <c r="B20" s="4"/>
      <c r="C20" s="4"/>
      <c r="D20" s="4"/>
      <c r="E20" s="4"/>
      <c r="F20" s="4"/>
      <c r="G20" s="4"/>
    </row>
    <row r="21" customFormat="false" ht="15" hidden="false" customHeight="true" outlineLevel="0" collapsed="false">
      <c r="A21" s="49" t="s">
        <v>41</v>
      </c>
      <c r="B21" s="49" t="s">
        <v>42</v>
      </c>
      <c r="C21" s="49" t="s">
        <v>43</v>
      </c>
      <c r="D21" s="49" t="s">
        <v>163</v>
      </c>
    </row>
    <row r="22" customFormat="false" ht="15" hidden="false" customHeight="true" outlineLevel="0" collapsed="false">
      <c r="A22" s="44" t="s">
        <v>246</v>
      </c>
      <c r="B22" s="54" t="str">
        <f aca="false">"n/a"</f>
        <v>n/a</v>
      </c>
      <c r="C22" s="54" t="n">
        <f aca="false">'Private Credit Case'!B45</f>
        <v>19.6</v>
      </c>
      <c r="D22" s="54" t="n">
        <f aca="false">'Blended Capital Case'!B45</f>
        <v>11.82</v>
      </c>
    </row>
    <row r="23" customFormat="false" ht="15" hidden="false" customHeight="true" outlineLevel="0" collapsed="false">
      <c r="A23" s="44" t="s">
        <v>271</v>
      </c>
      <c r="B23" s="54" t="str">
        <f aca="false">"n/a"</f>
        <v>n/a</v>
      </c>
      <c r="C23" s="54" t="n">
        <f aca="false">'Private Credit Case'!B49</f>
        <v>31.385</v>
      </c>
      <c r="D23" s="54" t="n">
        <f aca="false">'Blended Capital Case'!B49</f>
        <v>18.534</v>
      </c>
    </row>
    <row r="24" customFormat="false" ht="15" hidden="false" customHeight="true" outlineLevel="0" collapsed="false">
      <c r="A24" s="44" t="s">
        <v>251</v>
      </c>
      <c r="B24" s="70" t="str">
        <f aca="false">"n/a"</f>
        <v>n/a</v>
      </c>
      <c r="C24" s="70" t="n">
        <f aca="false">'Private Credit Case'!B50</f>
        <v>1.60127551020408</v>
      </c>
      <c r="D24" s="70" t="n">
        <f aca="false">'Blended Capital Case'!B50</f>
        <v>1.56802030456853</v>
      </c>
    </row>
    <row r="26" customFormat="false" ht="15" hidden="false" customHeight="true" outlineLevel="0" collapsed="false">
      <c r="A26" s="4" t="s">
        <v>272</v>
      </c>
      <c r="B26" s="4"/>
      <c r="C26" s="4"/>
      <c r="D26" s="4"/>
      <c r="E26" s="4"/>
      <c r="F26" s="4"/>
      <c r="G26" s="4"/>
    </row>
    <row r="27" customFormat="false" ht="15" hidden="false" customHeight="true" outlineLevel="0" collapsed="false">
      <c r="A27" s="49" t="s">
        <v>264</v>
      </c>
      <c r="B27" s="49" t="s">
        <v>265</v>
      </c>
      <c r="C27" s="49" t="s">
        <v>89</v>
      </c>
      <c r="D27" s="49" t="s">
        <v>90</v>
      </c>
      <c r="E27" s="49" t="s">
        <v>91</v>
      </c>
      <c r="F27" s="49" t="s">
        <v>92</v>
      </c>
      <c r="G27" s="49" t="s">
        <v>93</v>
      </c>
    </row>
    <row r="28" customFormat="false" ht="15" hidden="false" customHeight="true" outlineLevel="0" collapsed="false">
      <c r="A28" s="44" t="s">
        <v>43</v>
      </c>
      <c r="B28" s="54" t="n">
        <f aca="false">-'Private Credit Case'!B45</f>
        <v>-19.6</v>
      </c>
      <c r="C28" s="54" t="n">
        <f aca="false">'Private Credit Case'!B8+'Private Credit Case'!B10</f>
        <v>2.3</v>
      </c>
      <c r="D28" s="54" t="n">
        <f aca="false">'Private Credit Case'!C8+'Private Credit Case'!C10</f>
        <v>2.3</v>
      </c>
      <c r="E28" s="54" t="n">
        <f aca="false">'Private Credit Case'!D8+'Private Credit Case'!D10</f>
        <v>2.3</v>
      </c>
      <c r="F28" s="54" t="n">
        <f aca="false">'Private Credit Case'!E8+'Private Credit Case'!E10</f>
        <v>3.3</v>
      </c>
      <c r="G28" s="57" t="n">
        <f aca="false">'Private Credit Case'!F8+'Private Credit Case'!F10+'Private Credit Case'!F12</f>
        <v>21.185</v>
      </c>
    </row>
    <row r="29" customFormat="false" ht="15" hidden="false" customHeight="true" outlineLevel="0" collapsed="false">
      <c r="A29" s="44" t="s">
        <v>163</v>
      </c>
      <c r="B29" s="54" t="n">
        <f aca="false">-'Blended Capital Case'!B45</f>
        <v>-11.82</v>
      </c>
      <c r="C29" s="54" t="n">
        <f aca="false">'Blended Capital Case'!B8+'Blended Capital Case'!B10</f>
        <v>1.32</v>
      </c>
      <c r="D29" s="54" t="n">
        <f aca="false">'Blended Capital Case'!C8+'Blended Capital Case'!C10</f>
        <v>1.32</v>
      </c>
      <c r="E29" s="54" t="n">
        <f aca="false">'Blended Capital Case'!D8+'Blended Capital Case'!D10</f>
        <v>1.32</v>
      </c>
      <c r="F29" s="54" t="n">
        <f aca="false">'Blended Capital Case'!E8+'Blended Capital Case'!E10</f>
        <v>1.92</v>
      </c>
      <c r="G29" s="57" t="n">
        <f aca="false">'Blended Capital Case'!F8+'Blended Capital Case'!F10+'Blended Capital Case'!F12</f>
        <v>12.654</v>
      </c>
    </row>
    <row r="30" customFormat="false" ht="15" hidden="false" customHeight="true" outlineLevel="0" collapsed="false">
      <c r="A30" s="44" t="s">
        <v>57</v>
      </c>
      <c r="B30" s="71" t="str">
        <f aca="false">"n/a"</f>
        <v>n/a</v>
      </c>
      <c r="C30" s="66" t="n">
        <f aca="false">IRR(B28:G28)</f>
        <v>0.120600476236822</v>
      </c>
      <c r="D30" s="66" t="n">
        <f aca="false">IRR(B29:G29)</f>
        <v>0.114133759613366</v>
      </c>
    </row>
    <row r="32" customFormat="false" ht="49.5" hidden="false" customHeight="true" outlineLevel="0" collapsed="false">
      <c r="A32" s="60" t="s">
        <v>273</v>
      </c>
      <c r="B32" s="60"/>
      <c r="C32" s="60"/>
      <c r="D32" s="60"/>
      <c r="E32" s="60"/>
      <c r="F32" s="60"/>
      <c r="G32" s="60"/>
    </row>
    <row r="34" customFormat="false" ht="15" hidden="false" customHeight="true" outlineLevel="0" collapsed="false">
      <c r="A34" s="50" t="s">
        <v>76</v>
      </c>
    </row>
    <row r="36" customFormat="false" ht="18.75" hidden="false" customHeight="true" outlineLevel="0" collapsed="false">
      <c r="A36" s="14" t="s">
        <v>274</v>
      </c>
      <c r="B36" s="14"/>
      <c r="C36" s="14"/>
      <c r="D36" s="14"/>
      <c r="E36" s="14"/>
      <c r="F36" s="14"/>
      <c r="G36" s="14"/>
    </row>
    <row r="37" customFormat="false" ht="21.75" hidden="false" customHeight="true" outlineLevel="0" collapsed="false">
      <c r="A37" s="19" t="s">
        <v>41</v>
      </c>
      <c r="B37" s="20" t="s">
        <v>42</v>
      </c>
      <c r="C37" s="20" t="s">
        <v>43</v>
      </c>
      <c r="D37" s="20" t="s">
        <v>44</v>
      </c>
      <c r="E37" s="20" t="s">
        <v>275</v>
      </c>
      <c r="F37" s="20"/>
      <c r="G37" s="20"/>
    </row>
    <row r="38" customFormat="false" ht="15" hidden="false" customHeight="true" outlineLevel="0" collapsed="false">
      <c r="A38" s="25" t="s">
        <v>276</v>
      </c>
      <c r="B38" s="72" t="n">
        <f aca="false">1-'Capital Structures'!B18</f>
        <v>0.827586206896552</v>
      </c>
      <c r="C38" s="72" t="n">
        <f aca="false">1-'Capital Structures'!C18</f>
        <v>1</v>
      </c>
      <c r="D38" s="29" t="n">
        <f aca="false">1-'Capital Structures'!D18</f>
        <v>0.923076923076923</v>
      </c>
      <c r="E38" s="15" t="s">
        <v>277</v>
      </c>
      <c r="F38" s="15"/>
      <c r="G38" s="15"/>
    </row>
    <row r="39" customFormat="false" ht="15" hidden="false" customHeight="true" outlineLevel="0" collapsed="false">
      <c r="A39" s="25" t="s">
        <v>229</v>
      </c>
      <c r="B39" s="26" t="n">
        <f aca="false">'Growth Equity Case'!B23</f>
        <v>282.47657185792</v>
      </c>
      <c r="C39" s="26" t="n">
        <f aca="false">'Private Credit Case'!B35</f>
        <v>250.69157185792</v>
      </c>
      <c r="D39" s="23" t="n">
        <f aca="false">'Blended Capital Case'!B35</f>
        <v>263.76257185792</v>
      </c>
      <c r="E39" s="15" t="s">
        <v>278</v>
      </c>
      <c r="F39" s="15"/>
      <c r="G39" s="15"/>
    </row>
    <row r="40" customFormat="false" ht="15" hidden="false" customHeight="true" outlineLevel="0" collapsed="false">
      <c r="A40" s="6" t="s">
        <v>279</v>
      </c>
      <c r="B40" s="73" t="n">
        <f aca="false">B38*B39</f>
        <v>233.773714641037</v>
      </c>
      <c r="C40" s="73" t="n">
        <f aca="false">C38*C39</f>
        <v>250.69157185792</v>
      </c>
      <c r="D40" s="23" t="n">
        <f aca="false">D38*D39</f>
        <v>243.473143253465</v>
      </c>
      <c r="E40" s="15" t="s">
        <v>280</v>
      </c>
      <c r="F40" s="15"/>
      <c r="G40" s="15"/>
    </row>
    <row r="41" customFormat="false" ht="18.75" hidden="false" customHeight="true" outlineLevel="0" collapsed="false">
      <c r="A41" s="6" t="s">
        <v>281</v>
      </c>
      <c r="B41" s="73" t="n">
        <f aca="false">0</f>
        <v>0</v>
      </c>
      <c r="C41" s="73" t="n">
        <f aca="false">C40-B40</f>
        <v>16.9178572168827</v>
      </c>
      <c r="D41" s="23" t="n">
        <f aca="false">D40-B40</f>
        <v>9.69942861242734</v>
      </c>
      <c r="E41" s="15" t="s">
        <v>282</v>
      </c>
      <c r="F41" s="15"/>
      <c r="G41" s="15"/>
    </row>
    <row r="43" customFormat="false" ht="15" hidden="false" customHeight="true" outlineLevel="0" collapsed="false">
      <c r="A43" s="74" t="s">
        <v>283</v>
      </c>
      <c r="B43" s="74"/>
      <c r="C43" s="74"/>
      <c r="D43" s="74"/>
      <c r="E43" s="74"/>
      <c r="F43" s="74"/>
      <c r="G43" s="74"/>
    </row>
    <row r="44" customFormat="false" ht="15" hidden="false" customHeight="true" outlineLevel="0" collapsed="false">
      <c r="A44" s="74"/>
      <c r="B44" s="74"/>
      <c r="C44" s="74"/>
      <c r="D44" s="74"/>
      <c r="E44" s="74"/>
      <c r="F44" s="74"/>
      <c r="G44" s="74"/>
    </row>
  </sheetData>
  <mergeCells count="14">
    <mergeCell ref="A1:G1"/>
    <mergeCell ref="A2:G2"/>
    <mergeCell ref="A3:G3"/>
    <mergeCell ref="A5:G5"/>
    <mergeCell ref="A10:G10"/>
    <mergeCell ref="A20:G20"/>
    <mergeCell ref="A26:G26"/>
    <mergeCell ref="A32:G32"/>
    <mergeCell ref="A36:G36"/>
    <mergeCell ref="E38:G38"/>
    <mergeCell ref="E39:G39"/>
    <mergeCell ref="E40:G40"/>
    <mergeCell ref="E41:G41"/>
    <mergeCell ref="A43:G44"/>
  </mergeCells>
  <printOptions headings="false" gridLines="false" gridLinesSet="true" horizontalCentered="false" verticalCentered="false"/>
  <pageMargins left="0.35" right="0.35"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All figures are hypothetical and illustrative.&amp;R&amp;8 Page &amp;P of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6714"/>
    <pageSetUpPr fitToPage="true"/>
  </sheetPr>
  <dimension ref="A1:G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8" min="2" style="1" width="15"/>
  </cols>
  <sheetData>
    <row r="1" customFormat="false" ht="21.75" hidden="false" customHeight="true" outlineLevel="0" collapsed="false">
      <c r="A1" s="41" t="s">
        <v>284</v>
      </c>
      <c r="B1" s="41"/>
      <c r="C1" s="41"/>
      <c r="D1" s="41"/>
      <c r="E1" s="41"/>
      <c r="F1" s="41"/>
      <c r="G1" s="41"/>
    </row>
    <row r="2" customFormat="false" ht="15" hidden="false" customHeight="true" outlineLevel="0" collapsed="false">
      <c r="A2" s="42" t="s">
        <v>285</v>
      </c>
      <c r="B2" s="42"/>
      <c r="C2" s="42"/>
      <c r="D2" s="42"/>
      <c r="E2" s="42"/>
      <c r="F2" s="42"/>
      <c r="G2" s="42"/>
    </row>
    <row r="3" customFormat="false" ht="15" hidden="false" customHeight="true" outlineLevel="0" collapsed="false">
      <c r="A3" s="43" t="s">
        <v>76</v>
      </c>
      <c r="B3" s="43"/>
      <c r="C3" s="43"/>
      <c r="D3" s="43"/>
      <c r="E3" s="43"/>
      <c r="F3" s="43"/>
      <c r="G3" s="43"/>
    </row>
    <row r="5" customFormat="false" ht="15" hidden="false" customHeight="true" outlineLevel="0" collapsed="false">
      <c r="A5" s="4" t="s">
        <v>286</v>
      </c>
      <c r="B5" s="4"/>
      <c r="C5" s="4"/>
      <c r="D5" s="4"/>
      <c r="E5" s="4"/>
      <c r="F5" s="4"/>
      <c r="G5" s="4"/>
    </row>
    <row r="6" customFormat="false" ht="25.5" hidden="false" customHeight="true" outlineLevel="0" collapsed="false">
      <c r="A6" s="60" t="s">
        <v>287</v>
      </c>
      <c r="B6" s="60"/>
      <c r="C6" s="60"/>
      <c r="D6" s="60"/>
      <c r="E6" s="60"/>
      <c r="F6" s="60"/>
      <c r="G6" s="60"/>
    </row>
    <row r="7" customFormat="false" ht="15" hidden="false" customHeight="true" outlineLevel="0" collapsed="false">
      <c r="A7" s="49" t="s">
        <v>39</v>
      </c>
      <c r="B7" s="49" t="s">
        <v>288</v>
      </c>
      <c r="C7" s="49" t="s">
        <v>229</v>
      </c>
      <c r="D7" s="49" t="s">
        <v>289</v>
      </c>
      <c r="E7" s="49" t="s">
        <v>268</v>
      </c>
      <c r="F7" s="49" t="s">
        <v>290</v>
      </c>
    </row>
    <row r="8" customFormat="false" ht="15" hidden="false" customHeight="true" outlineLevel="0" collapsed="false">
      <c r="A8" s="75" t="n">
        <v>5</v>
      </c>
      <c r="B8" s="54" t="n">
        <f aca="false">'Blended Capital Case'!B30*A8</f>
        <v>190.30781952</v>
      </c>
      <c r="C8" s="54" t="n">
        <f aca="false">B8+'Blended Capital Case'!B33+'Blended Capital Case'!B34</f>
        <v>187.63944404992</v>
      </c>
      <c r="D8" s="54" t="n">
        <f aca="false">C8*'Blended Capital Case'!B36</f>
        <v>14.4338033884554</v>
      </c>
      <c r="E8" s="70" t="n">
        <f aca="false">D8/'Blended Capital Case'!B37</f>
        <v>1.80422542355692</v>
      </c>
      <c r="F8" s="66" t="n">
        <f aca="false">E8^(1/5)-1</f>
        <v>0.125273676748024</v>
      </c>
    </row>
    <row r="9" customFormat="false" ht="15" hidden="false" customHeight="true" outlineLevel="0" collapsed="false">
      <c r="A9" s="75" t="n">
        <v>6</v>
      </c>
      <c r="B9" s="54" t="n">
        <f aca="false">'Blended Capital Case'!B30*A9</f>
        <v>228.369383424</v>
      </c>
      <c r="C9" s="54" t="n">
        <f aca="false">B9+'Blended Capital Case'!B33+'Blended Capital Case'!B34</f>
        <v>225.70100795392</v>
      </c>
      <c r="D9" s="54" t="n">
        <f aca="false">C9*'Blended Capital Case'!B36</f>
        <v>17.3616159964554</v>
      </c>
      <c r="E9" s="70" t="n">
        <f aca="false">D9/'Blended Capital Case'!B37</f>
        <v>2.17020199955692</v>
      </c>
      <c r="F9" s="66" t="n">
        <f aca="false">E9^(1/5)-1</f>
        <v>0.167615984689866</v>
      </c>
    </row>
    <row r="10" customFormat="false" ht="15" hidden="false" customHeight="true" outlineLevel="0" collapsed="false">
      <c r="A10" s="75" t="n">
        <v>7</v>
      </c>
      <c r="B10" s="54" t="n">
        <f aca="false">'Blended Capital Case'!B30*A10</f>
        <v>266.430947328</v>
      </c>
      <c r="C10" s="54" t="n">
        <f aca="false">B10+'Blended Capital Case'!B33+'Blended Capital Case'!B34</f>
        <v>263.76257185792</v>
      </c>
      <c r="D10" s="54" t="n">
        <f aca="false">C10*'Blended Capital Case'!B36</f>
        <v>20.2894286044554</v>
      </c>
      <c r="E10" s="70" t="n">
        <f aca="false">D10/'Blended Capital Case'!B37</f>
        <v>2.53617857555692</v>
      </c>
      <c r="F10" s="66" t="n">
        <f aca="false">E10^(1/5)-1</f>
        <v>0.204580881267541</v>
      </c>
    </row>
    <row r="11" customFormat="false" ht="15" hidden="false" customHeight="true" outlineLevel="0" collapsed="false">
      <c r="A11" s="75" t="n">
        <v>8</v>
      </c>
      <c r="B11" s="54" t="n">
        <f aca="false">'Blended Capital Case'!B30*A11</f>
        <v>304.492511232</v>
      </c>
      <c r="C11" s="54" t="n">
        <f aca="false">B11+'Blended Capital Case'!B33+'Blended Capital Case'!B34</f>
        <v>301.82413576192</v>
      </c>
      <c r="D11" s="54" t="n">
        <f aca="false">C11*'Blended Capital Case'!B36</f>
        <v>23.2172412124554</v>
      </c>
      <c r="E11" s="70" t="n">
        <f aca="false">D11/'Blended Capital Case'!B37</f>
        <v>2.90215515155692</v>
      </c>
      <c r="F11" s="66" t="n">
        <f aca="false">E11^(1/5)-1</f>
        <v>0.237496916004031</v>
      </c>
    </row>
    <row r="12" customFormat="false" ht="15" hidden="false" customHeight="true" outlineLevel="0" collapsed="false">
      <c r="A12" s="75" t="n">
        <v>9</v>
      </c>
      <c r="B12" s="54" t="n">
        <f aca="false">'Blended Capital Case'!B30*A12</f>
        <v>342.554075136</v>
      </c>
      <c r="C12" s="54" t="n">
        <f aca="false">B12+'Blended Capital Case'!B33+'Blended Capital Case'!B34</f>
        <v>339.88569966592</v>
      </c>
      <c r="D12" s="54" t="n">
        <f aca="false">C12*'Blended Capital Case'!B36</f>
        <v>26.1450538204554</v>
      </c>
      <c r="E12" s="70" t="n">
        <f aca="false">D12/'Blended Capital Case'!B37</f>
        <v>3.26813172755692</v>
      </c>
      <c r="F12" s="66" t="n">
        <f aca="false">E12^(1/5)-1</f>
        <v>0.267243028279734</v>
      </c>
    </row>
    <row r="14" customFormat="false" ht="15" hidden="false" customHeight="true" outlineLevel="0" collapsed="false">
      <c r="A14" s="4" t="s">
        <v>291</v>
      </c>
      <c r="B14" s="4"/>
      <c r="C14" s="4"/>
      <c r="D14" s="4"/>
      <c r="E14" s="4"/>
      <c r="F14" s="4"/>
      <c r="G14" s="4"/>
    </row>
    <row r="15" customFormat="false" ht="25.5" hidden="false" customHeight="true" outlineLevel="0" collapsed="false">
      <c r="A15" s="60" t="s">
        <v>292</v>
      </c>
      <c r="B15" s="60"/>
      <c r="C15" s="60"/>
      <c r="D15" s="60"/>
      <c r="E15" s="60"/>
      <c r="F15" s="60"/>
      <c r="G15" s="60"/>
    </row>
    <row r="16" customFormat="false" ht="34.5" hidden="false" customHeight="true" outlineLevel="0" collapsed="false">
      <c r="A16" s="49" t="s">
        <v>33</v>
      </c>
      <c r="B16" s="49" t="s">
        <v>225</v>
      </c>
      <c r="C16" s="49" t="s">
        <v>293</v>
      </c>
    </row>
    <row r="17" customFormat="false" ht="15" hidden="false" customHeight="true" outlineLevel="0" collapsed="false">
      <c r="A17" s="76" t="n">
        <v>0.2</v>
      </c>
      <c r="B17" s="54" t="n">
        <f aca="false">Assumptions!$B$6*(1+MAX(0,A17-Assumptions!$B$8*0))*(1+MAX(0,A17-Assumptions!$B$8*1))*(1+MAX(0,A17-Assumptions!$B$8*2))*(1+MAX(0,A17-Assumptions!$B$8*3))*(1+MAX(0,A17-Assumptions!$B$8*4))</f>
        <v>25.166647296</v>
      </c>
      <c r="C17" s="57" t="n">
        <f aca="false">B17*Assumptions!$B$29</f>
        <v>176.166531072</v>
      </c>
    </row>
    <row r="18" customFormat="false" ht="15" hidden="false" customHeight="true" outlineLevel="0" collapsed="false">
      <c r="A18" s="76" t="n">
        <v>0.25</v>
      </c>
      <c r="B18" s="54" t="n">
        <f aca="false">Assumptions!$B$6*(1+MAX(0,A18-Assumptions!$B$8*0))*(1+MAX(0,A18-Assumptions!$B$8*1))*(1+MAX(0,A18-Assumptions!$B$8*2))*(1+MAX(0,A18-Assumptions!$B$8*3))*(1+MAX(0,A18-Assumptions!$B$8*4))</f>
        <v>31.08240135</v>
      </c>
      <c r="C18" s="57" t="n">
        <f aca="false">B18*Assumptions!$B$29</f>
        <v>217.57680945</v>
      </c>
    </row>
    <row r="19" customFormat="false" ht="15" hidden="false" customHeight="true" outlineLevel="0" collapsed="false">
      <c r="A19" s="76" t="n">
        <v>0.3</v>
      </c>
      <c r="B19" s="54" t="n">
        <f aca="false">Assumptions!$B$6*(1+MAX(0,A19-Assumptions!$B$8*0))*(1+MAX(0,A19-Assumptions!$B$8*1))*(1+MAX(0,A19-Assumptions!$B$8*2))*(1+MAX(0,A19-Assumptions!$B$8*3))*(1+MAX(0,A19-Assumptions!$B$8*4))</f>
        <v>38.061563904</v>
      </c>
      <c r="C19" s="57" t="n">
        <f aca="false">B19*Assumptions!$B$29</f>
        <v>266.430947328</v>
      </c>
    </row>
    <row r="20" customFormat="false" ht="15" hidden="false" customHeight="true" outlineLevel="0" collapsed="false">
      <c r="A20" s="76" t="n">
        <v>0.35</v>
      </c>
      <c r="B20" s="54" t="n">
        <f aca="false">Assumptions!$B$6*(1+MAX(0,A20-Assumptions!$B$8*0))*(1+MAX(0,A20-Assumptions!$B$8*1))*(1+MAX(0,A20-Assumptions!$B$8*2))*(1+MAX(0,A20-Assumptions!$B$8*3))*(1+MAX(0,A20-Assumptions!$B$8*4))</f>
        <v>46.241443458</v>
      </c>
      <c r="C20" s="57" t="n">
        <f aca="false">B20*Assumptions!$B$29</f>
        <v>323.690104206</v>
      </c>
    </row>
    <row r="21" customFormat="false" ht="15" hidden="false" customHeight="true" outlineLevel="0" collapsed="false">
      <c r="A21" s="76" t="n">
        <v>0.4</v>
      </c>
      <c r="B21" s="54" t="n">
        <f aca="false">Assumptions!$B$6*(1+MAX(0,A21-Assumptions!$B$8*0))*(1+MAX(0,A21-Assumptions!$B$8*1))*(1+MAX(0,A21-Assumptions!$B$8*2))*(1+MAX(0,A21-Assumptions!$B$8*3))*(1+MAX(0,A21-Assumptions!$B$8*4))</f>
        <v>55.770688512</v>
      </c>
      <c r="C21" s="57" t="n">
        <f aca="false">B21*Assumptions!$B$29</f>
        <v>390.394819584</v>
      </c>
    </row>
    <row r="23" customFormat="false" ht="15" hidden="false" customHeight="true" outlineLevel="0" collapsed="false">
      <c r="A23" s="4" t="s">
        <v>294</v>
      </c>
      <c r="B23" s="4"/>
      <c r="C23" s="4"/>
      <c r="D23" s="4"/>
      <c r="E23" s="4"/>
      <c r="F23" s="4"/>
      <c r="G23" s="4"/>
    </row>
    <row r="24" customFormat="false" ht="25.5" hidden="false" customHeight="true" outlineLevel="0" collapsed="false">
      <c r="A24" s="60" t="s">
        <v>295</v>
      </c>
      <c r="B24" s="60"/>
      <c r="C24" s="60"/>
      <c r="D24" s="60"/>
      <c r="E24" s="60"/>
      <c r="F24" s="60"/>
      <c r="G24" s="60"/>
    </row>
    <row r="25" customFormat="false" ht="21.75" hidden="false" customHeight="true" outlineLevel="0" collapsed="false">
      <c r="A25" s="19" t="s">
        <v>34</v>
      </c>
      <c r="B25" s="20" t="s">
        <v>296</v>
      </c>
      <c r="C25" s="20" t="s">
        <v>297</v>
      </c>
      <c r="D25" s="20" t="s">
        <v>298</v>
      </c>
      <c r="E25" s="20" t="s">
        <v>299</v>
      </c>
    </row>
    <row r="26" customFormat="false" ht="15" hidden="false" customHeight="true" outlineLevel="0" collapsed="false">
      <c r="A26" s="76" t="n">
        <v>1</v>
      </c>
      <c r="B26" s="54" t="n">
        <f aca="false">Assumptions!$B$6*(1+'Operating Forecast'!B8)-Assumptions!$B$6*A26</f>
        <v>3.6</v>
      </c>
      <c r="C26" s="54" t="n">
        <f aca="false">B26-'Operating Forecast'!B9</f>
        <v>1.2</v>
      </c>
      <c r="D26" s="77" t="n">
        <f aca="false">B26/((Assumptions!$B$6/Assumptions!$B$16)*Assumptions!$B$17)</f>
        <v>62.6086956521739</v>
      </c>
      <c r="E26" s="78" t="n">
        <f aca="false">B26/(B26+Assumptions!$B$6*(A26-Assumptions!$B$10))</f>
        <v>0.714285714285714</v>
      </c>
    </row>
    <row r="27" customFormat="false" ht="15" hidden="false" customHeight="true" outlineLevel="0" collapsed="false">
      <c r="A27" s="76" t="n">
        <v>1.05</v>
      </c>
      <c r="B27" s="54" t="n">
        <f aca="false">Assumptions!$B$6*(1+'Operating Forecast'!B8)-Assumptions!$B$6*A27</f>
        <v>3</v>
      </c>
      <c r="C27" s="54" t="n">
        <f aca="false">B27-'Operating Forecast'!B9</f>
        <v>0.6</v>
      </c>
      <c r="D27" s="77" t="n">
        <f aca="false">B27/((Assumptions!$B$6/Assumptions!$B$16)*Assumptions!$B$17)</f>
        <v>52.1739130434783</v>
      </c>
      <c r="E27" s="78" t="n">
        <f aca="false">B27/(B27+Assumptions!$B$6*(A27-Assumptions!$B$10))</f>
        <v>0.595238095238095</v>
      </c>
    </row>
    <row r="28" customFormat="false" ht="15" hidden="false" customHeight="true" outlineLevel="0" collapsed="false">
      <c r="A28" s="76" t="n">
        <v>1.1</v>
      </c>
      <c r="B28" s="54" t="n">
        <f aca="false">Assumptions!$B$6*(1+'Operating Forecast'!B8)-Assumptions!$B$6*A28</f>
        <v>2.4</v>
      </c>
      <c r="C28" s="54" t="n">
        <f aca="false">B28-'Operating Forecast'!B9</f>
        <v>0</v>
      </c>
      <c r="D28" s="77" t="n">
        <f aca="false">B28/((Assumptions!$B$6/Assumptions!$B$16)*Assumptions!$B$17)</f>
        <v>41.7391304347826</v>
      </c>
      <c r="E28" s="78" t="n">
        <f aca="false">B28/(B28+Assumptions!$B$6*(A28-Assumptions!$B$10))</f>
        <v>0.476190476190476</v>
      </c>
    </row>
    <row r="29" customFormat="false" ht="15" hidden="false" customHeight="true" outlineLevel="0" collapsed="false">
      <c r="A29" s="76" t="n">
        <v>1.15</v>
      </c>
      <c r="B29" s="54" t="n">
        <f aca="false">Assumptions!$B$6*(1+'Operating Forecast'!B8)-Assumptions!$B$6*A29</f>
        <v>1.8</v>
      </c>
      <c r="C29" s="54" t="n">
        <f aca="false">B29-'Operating Forecast'!B9</f>
        <v>-0.599999999999998</v>
      </c>
      <c r="D29" s="77" t="n">
        <f aca="false">B29/((Assumptions!$B$6/Assumptions!$B$16)*Assumptions!$B$17)</f>
        <v>31.304347826087</v>
      </c>
      <c r="E29" s="78" t="n">
        <f aca="false">B29/(B29+Assumptions!$B$6*(A29-Assumptions!$B$10))</f>
        <v>0.357142857142858</v>
      </c>
    </row>
    <row r="30" customFormat="false" ht="15" hidden="false" customHeight="true" outlineLevel="0" collapsed="false">
      <c r="A30" s="76" t="n">
        <v>1.2</v>
      </c>
      <c r="B30" s="54" t="n">
        <f aca="false">Assumptions!$B$6*(1+'Operating Forecast'!B8)-Assumptions!$B$6*A30</f>
        <v>1.2</v>
      </c>
      <c r="C30" s="54" t="n">
        <f aca="false">B30-'Operating Forecast'!B9</f>
        <v>-1.2</v>
      </c>
      <c r="D30" s="77" t="n">
        <f aca="false">B30/((Assumptions!$B$6/Assumptions!$B$16)*Assumptions!$B$17)</f>
        <v>20.8695652173914</v>
      </c>
      <c r="E30" s="78" t="n">
        <f aca="false">B30/(B30+Assumptions!$B$6*(A30-Assumptions!$B$10))</f>
        <v>0.238095238095239</v>
      </c>
    </row>
    <row r="32" customFormat="false" ht="15" hidden="false" customHeight="true" outlineLevel="0" collapsed="false">
      <c r="A32" s="4" t="s">
        <v>300</v>
      </c>
      <c r="B32" s="4"/>
      <c r="C32" s="4"/>
      <c r="D32" s="4"/>
      <c r="E32" s="4"/>
      <c r="F32" s="4"/>
      <c r="G32" s="4"/>
    </row>
    <row r="33" customFormat="false" ht="25.5" hidden="false" customHeight="true" outlineLevel="0" collapsed="false">
      <c r="A33" s="60" t="s">
        <v>301</v>
      </c>
      <c r="B33" s="60"/>
      <c r="C33" s="60"/>
      <c r="D33" s="60"/>
      <c r="E33" s="60"/>
      <c r="F33" s="60"/>
      <c r="G33" s="60"/>
    </row>
    <row r="34" customFormat="false" ht="23.25" hidden="false" customHeight="true" outlineLevel="0" collapsed="false">
      <c r="A34" s="49" t="s">
        <v>106</v>
      </c>
      <c r="B34" s="49" t="s">
        <v>302</v>
      </c>
      <c r="C34" s="49" t="s">
        <v>303</v>
      </c>
      <c r="D34" s="49" t="s">
        <v>304</v>
      </c>
      <c r="E34" s="49" t="s">
        <v>222</v>
      </c>
    </row>
    <row r="35" customFormat="false" ht="15" hidden="false" customHeight="true" outlineLevel="0" collapsed="false">
      <c r="A35" s="76" t="n">
        <v>0.09</v>
      </c>
      <c r="B35" s="54" t="n">
        <f aca="false">Assumptions!$B$46*A35</f>
        <v>1.08</v>
      </c>
      <c r="C35" s="54" t="n">
        <f aca="false">Assumptions!$B$46*A35*Assumptions!$B$51+(Assumptions!$B$46*A35+(Assumptions!$B$46-Assumptions!$B$46*Assumptions!$B$52)*A35)</f>
        <v>5.346</v>
      </c>
      <c r="D35" s="57" t="n">
        <f aca="false">'Blended Capital Case'!F23+(SUM('Blended Capital Case'!B8:F8)-C35)</f>
        <v>9.31962452992</v>
      </c>
      <c r="E35" s="55" t="str">
        <f aca="false">IF(D35&lt;Assumptions!$B$30,"BREACH","Headroom")</f>
        <v>Headroom</v>
      </c>
    </row>
    <row r="36" customFormat="false" ht="15" hidden="false" customHeight="true" outlineLevel="0" collapsed="false">
      <c r="A36" s="76" t="n">
        <v>0.1</v>
      </c>
      <c r="B36" s="54" t="n">
        <f aca="false">Assumptions!$B$46*A36</f>
        <v>1.2</v>
      </c>
      <c r="C36" s="54" t="n">
        <f aca="false">Assumptions!$B$46*A36*Assumptions!$B$51+(Assumptions!$B$46*A36+(Assumptions!$B$46-Assumptions!$B$46*Assumptions!$B$52)*A36)</f>
        <v>5.94</v>
      </c>
      <c r="D36" s="57" t="n">
        <f aca="false">'Blended Capital Case'!F23+(SUM('Blended Capital Case'!B8:F8)-C36)</f>
        <v>8.72562452992</v>
      </c>
      <c r="E36" s="55" t="str">
        <f aca="false">IF(D36&lt;Assumptions!$B$30,"BREACH","Headroom")</f>
        <v>Headroom</v>
      </c>
    </row>
    <row r="37" customFormat="false" ht="15" hidden="false" customHeight="true" outlineLevel="0" collapsed="false">
      <c r="A37" s="76" t="n">
        <v>0.11</v>
      </c>
      <c r="B37" s="54" t="n">
        <f aca="false">Assumptions!$B$46*A37</f>
        <v>1.32</v>
      </c>
      <c r="C37" s="54" t="n">
        <f aca="false">Assumptions!$B$46*A37*Assumptions!$B$51+(Assumptions!$B$46*A37+(Assumptions!$B$46-Assumptions!$B$46*Assumptions!$B$52)*A37)</f>
        <v>6.534</v>
      </c>
      <c r="D37" s="57" t="n">
        <f aca="false">'Blended Capital Case'!F23+(SUM('Blended Capital Case'!B8:F8)-C37)</f>
        <v>8.13162452992</v>
      </c>
      <c r="E37" s="55" t="str">
        <f aca="false">IF(D37&lt;Assumptions!$B$30,"BREACH","Headroom")</f>
        <v>Headroom</v>
      </c>
    </row>
    <row r="38" customFormat="false" ht="15" hidden="false" customHeight="true" outlineLevel="0" collapsed="false">
      <c r="A38" s="76" t="n">
        <v>0.12</v>
      </c>
      <c r="B38" s="54" t="n">
        <f aca="false">Assumptions!$B$46*A38</f>
        <v>1.44</v>
      </c>
      <c r="C38" s="54" t="n">
        <f aca="false">Assumptions!$B$46*A38*Assumptions!$B$51+(Assumptions!$B$46*A38+(Assumptions!$B$46-Assumptions!$B$46*Assumptions!$B$52)*A38)</f>
        <v>7.128</v>
      </c>
      <c r="D38" s="57" t="n">
        <f aca="false">'Blended Capital Case'!F23+(SUM('Blended Capital Case'!B8:F8)-C38)</f>
        <v>7.53762452992</v>
      </c>
      <c r="E38" s="55" t="str">
        <f aca="false">IF(D38&lt;Assumptions!$B$30,"BREACH","Headroom")</f>
        <v>Headroom</v>
      </c>
    </row>
    <row r="39" customFormat="false" ht="15" hidden="false" customHeight="true" outlineLevel="0" collapsed="false">
      <c r="A39" s="76" t="n">
        <v>0.13</v>
      </c>
      <c r="B39" s="54" t="n">
        <f aca="false">Assumptions!$B$46*A39</f>
        <v>1.56</v>
      </c>
      <c r="C39" s="54" t="n">
        <f aca="false">Assumptions!$B$46*A39*Assumptions!$B$51+(Assumptions!$B$46*A39+(Assumptions!$B$46-Assumptions!$B$46*Assumptions!$B$52)*A39)</f>
        <v>7.722</v>
      </c>
      <c r="D39" s="57" t="n">
        <f aca="false">'Blended Capital Case'!F23+(SUM('Blended Capital Case'!B8:F8)-C39)</f>
        <v>6.94362452992</v>
      </c>
      <c r="E39" s="55" t="str">
        <f aca="false">IF(D39&lt;Assumptions!$B$30,"BREACH","Headroom")</f>
        <v>Headroom</v>
      </c>
    </row>
    <row r="41" customFormat="false" ht="15" hidden="false" customHeight="true" outlineLevel="0" collapsed="false">
      <c r="A41" s="4" t="s">
        <v>305</v>
      </c>
      <c r="B41" s="4"/>
      <c r="C41" s="4"/>
      <c r="D41" s="4"/>
      <c r="E41" s="4"/>
      <c r="F41" s="4"/>
      <c r="G41" s="4"/>
    </row>
    <row r="42" customFormat="false" ht="25.5" hidden="false" customHeight="true" outlineLevel="0" collapsed="false">
      <c r="A42" s="60" t="s">
        <v>306</v>
      </c>
      <c r="B42" s="60"/>
      <c r="C42" s="60"/>
      <c r="D42" s="60"/>
      <c r="E42" s="60"/>
      <c r="F42" s="60"/>
      <c r="G42" s="60"/>
    </row>
    <row r="43" customFormat="false" ht="23.25" hidden="false" customHeight="true" outlineLevel="0" collapsed="false">
      <c r="A43" s="44" t="s">
        <v>307</v>
      </c>
      <c r="B43" s="56" t="n">
        <f aca="false">-'Operating Forecast'!F21/'Operating Forecast'!F15</f>
        <v>0.75</v>
      </c>
    </row>
    <row r="44" customFormat="false" ht="15" hidden="false" customHeight="true" outlineLevel="0" collapsed="false">
      <c r="A44" s="44" t="s">
        <v>36</v>
      </c>
      <c r="B44" s="56" t="n">
        <f aca="false">Assumptions!$B$11</f>
        <v>0.78</v>
      </c>
    </row>
    <row r="45" customFormat="false" ht="23.25" hidden="false" customHeight="true" outlineLevel="0" collapsed="false">
      <c r="A45" s="44" t="s">
        <v>308</v>
      </c>
      <c r="B45" s="56" t="n">
        <f aca="false">Assumptions!$B$11+'Operating Forecast'!F21/'Operating Forecast'!F15</f>
        <v>0.03</v>
      </c>
    </row>
    <row r="46" customFormat="false" ht="15" hidden="false" customHeight="true" outlineLevel="0" collapsed="false">
      <c r="A46" s="44" t="s">
        <v>309</v>
      </c>
      <c r="B46" s="55" t="n">
        <f aca="false">IF('Operating Forecast'!B22&gt;0,1,IF('Operating Forecast'!C22&gt;0,2,IF('Operating Forecast'!D22&gt;0,3,IF('Operating Forecast'!E22&gt;0,4,IF('Operating Forecast'!F22&gt;0,5,"beyond year 5")))))</f>
        <v>5</v>
      </c>
    </row>
    <row r="47" customFormat="false" ht="23.25" hidden="false" customHeight="true" outlineLevel="0" collapsed="false">
      <c r="A47" s="44" t="s">
        <v>310</v>
      </c>
      <c r="B47" s="55" t="n">
        <f aca="false">IF('Operating Forecast'!B28&gt;0,1,IF('Operating Forecast'!C28&gt;0,2,IF('Operating Forecast'!D28&gt;0,3,IF('Operating Forecast'!E28&gt;0,4,IF('Operating Forecast'!F28&gt;0,5,"beyond year 5")))))</f>
        <v>5</v>
      </c>
    </row>
    <row r="48" customFormat="false" ht="23.25" hidden="false" customHeight="true" outlineLevel="0" collapsed="false">
      <c r="A48" s="44" t="s">
        <v>311</v>
      </c>
      <c r="B48" s="54" t="n">
        <f aca="false">SUM('Operating Forecast'!B28:F28)</f>
        <v>-8.95437547008</v>
      </c>
    </row>
    <row r="49" customFormat="false" ht="15" hidden="false" customHeight="true" outlineLevel="0" collapsed="false">
      <c r="A49" s="44" t="s">
        <v>312</v>
      </c>
      <c r="B49" s="54" t="n">
        <f aca="false">-SUM('Operating Forecast'!B28:F28)</f>
        <v>8.95437547008</v>
      </c>
    </row>
    <row r="51" customFormat="false" ht="15" hidden="false" customHeight="true" outlineLevel="0" collapsed="false">
      <c r="A51" s="50" t="s">
        <v>76</v>
      </c>
    </row>
    <row r="53" customFormat="false" ht="18.75" hidden="false" customHeight="true" outlineLevel="0" collapsed="false">
      <c r="A53" s="14" t="s">
        <v>313</v>
      </c>
      <c r="B53" s="14"/>
      <c r="C53" s="14"/>
      <c r="D53" s="14"/>
      <c r="E53" s="14"/>
      <c r="F53" s="14"/>
      <c r="G53" s="14"/>
    </row>
    <row r="54" customFormat="false" ht="15" hidden="false" customHeight="true" outlineLevel="0" collapsed="false">
      <c r="A54" s="15" t="s">
        <v>314</v>
      </c>
      <c r="B54" s="15"/>
      <c r="C54" s="15"/>
      <c r="D54" s="15"/>
      <c r="E54" s="15"/>
      <c r="F54" s="15"/>
      <c r="G54" s="15"/>
    </row>
    <row r="55" customFormat="false" ht="21.75" hidden="false" customHeight="true" outlineLevel="0" collapsed="false">
      <c r="A55" s="19" t="s">
        <v>315</v>
      </c>
      <c r="B55" s="20" t="s">
        <v>316</v>
      </c>
      <c r="C55" s="20" t="s">
        <v>317</v>
      </c>
      <c r="D55" s="20" t="s">
        <v>318</v>
      </c>
      <c r="E55" s="20" t="s">
        <v>319</v>
      </c>
      <c r="F55" s="20" t="s">
        <v>320</v>
      </c>
      <c r="G55" s="20" t="s">
        <v>279</v>
      </c>
    </row>
    <row r="56" customFormat="false" ht="15" hidden="false" customHeight="true" outlineLevel="0" collapsed="false">
      <c r="A56" s="79" t="n">
        <v>0</v>
      </c>
      <c r="B56" s="80" t="n">
        <f aca="false">Assumptions!$B$26-A56</f>
        <v>20</v>
      </c>
      <c r="C56" s="81" t="n">
        <f aca="false">IF(A56=0,0,A56/(Assumptions!$B$6*Assumptions!$B$28+A56))</f>
        <v>0</v>
      </c>
      <c r="D56" s="80" t="n">
        <f aca="false">Assumptions!$B$14+A56+B56*(1-Assumptions!$B$49)-Assumptions!$B$27+SUM('Operating Forecast'!B28:F28)-B56*Assumptions!$B$47*4-(B56-B56*Assumptions!$B$52)*Assumptions!$B$47-B56*Assumptions!$B$52*2</f>
        <v>2.85562452992</v>
      </c>
      <c r="E56" s="80" t="n">
        <f aca="false">Assumptions!$B$14+A56+B56*(1-Assumptions!$B$49)-Assumptions!$B$27+SUM('Downside Case'!B17:F17)-B56*Assumptions!$B$47*4-(B56-B56*Assumptions!$B$52)*Assumptions!$B$47-B56*Assumptions!$B$52*2</f>
        <v>-4.83232513792</v>
      </c>
      <c r="F56" s="82" t="str">
        <f aca="false">IF(E56&lt;0,"FAIL",IF(E56&lt;Assumptions!$B$30,"BREACH","Headroom"))</f>
        <v>FAIL</v>
      </c>
      <c r="G56" s="80" t="n">
        <f aca="false">(1-C56)*('Operating Forecast'!F12*Assumptions!$B$29+D56-B56*(1-Assumptions!$B$52*2))</f>
        <v>251.28657185792</v>
      </c>
    </row>
    <row r="57" customFormat="false" ht="15" hidden="false" customHeight="true" outlineLevel="0" collapsed="false">
      <c r="A57" s="79" t="n">
        <v>4</v>
      </c>
      <c r="B57" s="80" t="n">
        <f aca="false">Assumptions!$B$26-A57</f>
        <v>16</v>
      </c>
      <c r="C57" s="81" t="n">
        <f aca="false">IF(A57=0,0,A57/(Assumptions!$B$6*Assumptions!$B$28+A57))</f>
        <v>0.04</v>
      </c>
      <c r="D57" s="80" t="n">
        <f aca="false">Assumptions!$B$14+A57+B57*(1-Assumptions!$B$49)-Assumptions!$B$27+SUM('Operating Forecast'!B28:F28)-B57*Assumptions!$B$47*4-(B57-B57*Assumptions!$B$52)*Assumptions!$B$47-B57*Assumptions!$B$52*2</f>
        <v>5.49362452992</v>
      </c>
      <c r="E57" s="80" t="n">
        <f aca="false">Assumptions!$B$14+A57+B57*(1-Assumptions!$B$49)-Assumptions!$B$27+SUM('Downside Case'!B17:F17)-B57*Assumptions!$B$47*4-(B57-B57*Assumptions!$B$52)*Assumptions!$B$47-B57*Assumptions!$B$52*2</f>
        <v>-2.19432513792</v>
      </c>
      <c r="F57" s="82" t="str">
        <f aca="false">IF(E57&lt;0,"FAIL",IF(E57&lt;Assumptions!$B$30,"BREACH","Headroom"))</f>
        <v>FAIL</v>
      </c>
      <c r="G57" s="80" t="n">
        <f aca="false">(1-C57)*('Operating Forecast'!F12*Assumptions!$B$29+D57-B57*(1-Assumptions!$B$52*2))</f>
        <v>247.223588983603</v>
      </c>
    </row>
    <row r="58" customFormat="false" ht="15" hidden="false" customHeight="true" outlineLevel="0" collapsed="false">
      <c r="A58" s="83" t="n">
        <v>8</v>
      </c>
      <c r="B58" s="84" t="n">
        <f aca="false">Assumptions!$B$26-A58</f>
        <v>12</v>
      </c>
      <c r="C58" s="85" t="n">
        <f aca="false">IF(A58=0,0,A58/(Assumptions!$B$6*Assumptions!$B$28+A58))</f>
        <v>0.0769230769230769</v>
      </c>
      <c r="D58" s="84" t="n">
        <f aca="false">Assumptions!$B$14+A58+B58*(1-Assumptions!$B$49)-Assumptions!$B$27+SUM('Operating Forecast'!B28:F28)-B58*Assumptions!$B$47*4-(B58-B58*Assumptions!$B$52)*Assumptions!$B$47-B58*Assumptions!$B$52*2</f>
        <v>8.13162452992</v>
      </c>
      <c r="E58" s="84" t="n">
        <f aca="false">Assumptions!$B$14+A58+B58*(1-Assumptions!$B$49)-Assumptions!$B$27+SUM('Downside Case'!B17:F17)-B58*Assumptions!$B$47*4-(B58-B58*Assumptions!$B$52)*Assumptions!$B$47-B58*Assumptions!$B$52*2</f>
        <v>0.443674862080003</v>
      </c>
      <c r="F58" s="86" t="str">
        <f aca="false">IF(E58&lt;0,"FAIL",IF(E58&lt;Assumptions!$B$30,"BREACH","Headroom"))</f>
        <v>BREACH</v>
      </c>
      <c r="G58" s="84" t="n">
        <f aca="false">(1-C58)*('Operating Forecast'!F12*Assumptions!$B$29+D58-B58*(1-Assumptions!$B$52*2))</f>
        <v>243.473143253465</v>
      </c>
    </row>
    <row r="59" customFormat="false" ht="15" hidden="false" customHeight="true" outlineLevel="0" collapsed="false">
      <c r="A59" s="79" t="n">
        <v>12</v>
      </c>
      <c r="B59" s="80" t="n">
        <f aca="false">Assumptions!$B$26-A59</f>
        <v>8</v>
      </c>
      <c r="C59" s="81" t="n">
        <f aca="false">IF(A59=0,0,A59/(Assumptions!$B$6*Assumptions!$B$28+A59))</f>
        <v>0.111111111111111</v>
      </c>
      <c r="D59" s="80" t="n">
        <f aca="false">Assumptions!$B$14+A59+B59*(1-Assumptions!$B$49)-Assumptions!$B$27+SUM('Operating Forecast'!B28:F28)-B59*Assumptions!$B$47*4-(B59-B59*Assumptions!$B$52)*Assumptions!$B$47-B59*Assumptions!$B$52*2</f>
        <v>10.76962452992</v>
      </c>
      <c r="E59" s="80" t="n">
        <f aca="false">Assumptions!$B$14+A59+B59*(1-Assumptions!$B$49)-Assumptions!$B$27+SUM('Downside Case'!B17:F17)-B59*Assumptions!$B$47*4-(B59-B59*Assumptions!$B$52)*Assumptions!$B$47-B59*Assumptions!$B$52*2</f>
        <v>3.08167486208</v>
      </c>
      <c r="F59" s="82" t="str">
        <f aca="false">IF(E59&lt;0,"FAIL",IF(E59&lt;Assumptions!$B$30,"BREACH","Headroom"))</f>
        <v>BREACH</v>
      </c>
      <c r="G59" s="80" t="n">
        <f aca="false">(1-C59)*('Operating Forecast'!F12*Assumptions!$B$29+D59-B59*(1-Assumptions!$B$52*2))</f>
        <v>240.000508318151</v>
      </c>
    </row>
    <row r="60" customFormat="false" ht="15" hidden="false" customHeight="true" outlineLevel="0" collapsed="false">
      <c r="A60" s="79" t="n">
        <v>16</v>
      </c>
      <c r="B60" s="87" t="n">
        <f aca="false">Assumptions!$B$26-A60</f>
        <v>4</v>
      </c>
      <c r="C60" s="88" t="n">
        <f aca="false">IF(A60=0,0,A60/(Assumptions!$B$6*Assumptions!$B$28+A60))</f>
        <v>0.142857142857143</v>
      </c>
      <c r="D60" s="87" t="n">
        <f aca="false">Assumptions!$B$14+A60+B60*(1-Assumptions!$B$49)-Assumptions!$B$27+SUM('Operating Forecast'!B28:F28)-B60*Assumptions!$B$47*4-(B60-B60*Assumptions!$B$52)*Assumptions!$B$47-B60*Assumptions!$B$52*2</f>
        <v>13.40762452992</v>
      </c>
      <c r="E60" s="87" t="n">
        <f aca="false">Assumptions!$B$14+A60+B60*(1-Assumptions!$B$49)-Assumptions!$B$27+SUM('Downside Case'!B17:F17)-B60*Assumptions!$B$47*4-(B60-B60*Assumptions!$B$52)*Assumptions!$B$47-B60*Assumptions!$B$52*2</f>
        <v>5.71967486208</v>
      </c>
      <c r="F60" s="89" t="str">
        <f aca="false">IF(E60&lt;0,"FAIL",IF(E60&lt;Assumptions!$B$30,"BREACH","Headroom"))</f>
        <v>Headroom</v>
      </c>
      <c r="G60" s="87" t="n">
        <f aca="false">(1-C60)*('Operating Forecast'!F12*Assumptions!$B$29+D60-B60*(1-Assumptions!$B$52*2))</f>
        <v>236.77591873536</v>
      </c>
    </row>
    <row r="61" customFormat="false" ht="15" hidden="false" customHeight="true" outlineLevel="0" collapsed="false">
      <c r="A61" s="79" t="n">
        <v>20</v>
      </c>
      <c r="B61" s="80" t="n">
        <f aca="false">Assumptions!$B$26-A61</f>
        <v>0</v>
      </c>
      <c r="C61" s="81" t="n">
        <f aca="false">IF(A61=0,0,A61/(Assumptions!$B$6*Assumptions!$B$28+A61))</f>
        <v>0.172413793103448</v>
      </c>
      <c r="D61" s="80" t="n">
        <f aca="false">Assumptions!$B$14+A61+B61*(1-Assumptions!$B$49)-Assumptions!$B$27+SUM('Operating Forecast'!B28:F28)-B61*Assumptions!$B$47*4-(B61-B61*Assumptions!$B$52)*Assumptions!$B$47-B61*Assumptions!$B$52*2</f>
        <v>16.04562452992</v>
      </c>
      <c r="E61" s="80" t="n">
        <f aca="false">Assumptions!$B$14+A61+B61*(1-Assumptions!$B$49)-Assumptions!$B$27+SUM('Downside Case'!B17:F17)-B61*Assumptions!$B$47*4-(B61-B61*Assumptions!$B$52)*Assumptions!$B$47-B61*Assumptions!$B$52*2</f>
        <v>8.35767486208</v>
      </c>
      <c r="F61" s="82" t="str">
        <f aca="false">IF(E61&lt;0,"FAIL",IF(E61&lt;Assumptions!$B$30,"BREACH","Headroom"))</f>
        <v>Headroom</v>
      </c>
      <c r="G61" s="80" t="n">
        <f aca="false">(1-C61)*('Operating Forecast'!F12*Assumptions!$B$29+D61-B61*(1-Assumptions!$B$52*2))</f>
        <v>233.773714641037</v>
      </c>
    </row>
    <row r="63" customFormat="false" ht="21.75" hidden="false" customHeight="true" outlineLevel="0" collapsed="false">
      <c r="A63" s="6" t="s">
        <v>321</v>
      </c>
      <c r="B63" s="90" t="n">
        <f aca="false">D58</f>
        <v>8.13162452992</v>
      </c>
      <c r="C63" s="90" t="n">
        <f aca="false">E58</f>
        <v>0.443674862080003</v>
      </c>
      <c r="D63" s="90" t="str">
        <f aca="false">F58</f>
        <v>BREACH</v>
      </c>
    </row>
    <row r="64" customFormat="false" ht="21.75" hidden="false" customHeight="true" outlineLevel="0" collapsed="false">
      <c r="A64" s="6" t="s">
        <v>322</v>
      </c>
      <c r="B64" s="91" t="n">
        <f aca="false">INDEX(A56:A61,MATCH("Headroom",F56:F61,0))</f>
        <v>16</v>
      </c>
      <c r="C64" s="91" t="n">
        <f aca="false">Assumptions!$B$26-B64</f>
        <v>4</v>
      </c>
      <c r="D64" s="91" t="n">
        <f aca="false">INDEX(E56:E61,MATCH("Headroom",F56:F61,0))</f>
        <v>5.71967486208</v>
      </c>
    </row>
    <row r="66" customFormat="false" ht="15" hidden="false" customHeight="true" outlineLevel="0" collapsed="false">
      <c r="A66" s="37" t="s">
        <v>323</v>
      </c>
      <c r="B66" s="37"/>
      <c r="C66" s="37"/>
      <c r="D66" s="37"/>
      <c r="E66" s="91" t="n">
        <f aca="false">MAX(0,Assumptions!$B$26-ROUNDDOWN((Assumptions!$B$14+Assumptions!$B$26-Assumptions!$B$27+SUM('Downside Case'!B17:F17)-Assumptions!$B$30)/(Assumptions!$B$49+Assumptions!$B$47*4+(1-Assumptions!$B$52)*Assumptions!$B$47+Assumptions!$B$52*2),0))</f>
        <v>15</v>
      </c>
    </row>
    <row r="67" customFormat="false" ht="15" hidden="false" customHeight="true" outlineLevel="0" collapsed="false">
      <c r="A67" s="37" t="s">
        <v>324</v>
      </c>
      <c r="B67" s="37"/>
      <c r="C67" s="37"/>
      <c r="D67" s="37"/>
      <c r="E67" s="91" t="n">
        <f aca="false">INDEX(A56:A61,MATCH("Headroom",F56:F61,0))</f>
        <v>16</v>
      </c>
    </row>
  </sheetData>
  <mergeCells count="17">
    <mergeCell ref="A1:G1"/>
    <mergeCell ref="A2:G2"/>
    <mergeCell ref="A3:G3"/>
    <mergeCell ref="A5:G5"/>
    <mergeCell ref="A6:G6"/>
    <mergeCell ref="A14:G14"/>
    <mergeCell ref="A15:G15"/>
    <mergeCell ref="A23:G23"/>
    <mergeCell ref="A24:G24"/>
    <mergeCell ref="A32:G32"/>
    <mergeCell ref="A33:G33"/>
    <mergeCell ref="A41:G41"/>
    <mergeCell ref="A42:G42"/>
    <mergeCell ref="A53:G53"/>
    <mergeCell ref="A54:G54"/>
    <mergeCell ref="A66:D66"/>
    <mergeCell ref="A67:D67"/>
  </mergeCells>
  <conditionalFormatting sqref="E35:E39">
    <cfRule type="cellIs" priority="2" operator="equal" aboveAverage="0" equalAverage="0" bottom="0" percent="0" rank="0" text="" dxfId="12">
      <formula>"BREACH"</formula>
    </cfRule>
  </conditionalFormatting>
  <printOptions headings="false" gridLines="false" gridLinesSet="true" horizontalCentered="false" verticalCentered="false"/>
  <pageMargins left="0.35" right="0.35"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All figures are hypothetical and illustrative.&amp;R&amp;8 Page &amp;P of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4444"/>
    <pageSetUpPr fitToPage="true"/>
  </sheetPr>
  <dimension ref="A1:F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46"/>
    <col collapsed="false" customWidth="true" hidden="false" outlineLevel="0" max="7" min="2" style="1" width="15"/>
  </cols>
  <sheetData>
    <row r="1" customFormat="false" ht="21.75" hidden="false" customHeight="true" outlineLevel="0" collapsed="false">
      <c r="A1" s="41" t="s">
        <v>325</v>
      </c>
      <c r="B1" s="41"/>
      <c r="C1" s="41"/>
      <c r="D1" s="41"/>
      <c r="E1" s="41"/>
      <c r="F1" s="41"/>
    </row>
    <row r="2" customFormat="false" ht="15" hidden="false" customHeight="true" outlineLevel="0" collapsed="false">
      <c r="A2" s="42" t="s">
        <v>326</v>
      </c>
      <c r="B2" s="42"/>
      <c r="C2" s="42"/>
      <c r="D2" s="42"/>
      <c r="E2" s="42"/>
      <c r="F2" s="42"/>
    </row>
    <row r="3" customFormat="false" ht="15" hidden="false" customHeight="true" outlineLevel="0" collapsed="false">
      <c r="A3" s="43" t="s">
        <v>76</v>
      </c>
      <c r="B3" s="43"/>
      <c r="C3" s="43"/>
      <c r="D3" s="43"/>
      <c r="E3" s="43"/>
      <c r="F3" s="43"/>
    </row>
    <row r="5" customFormat="false" ht="15" hidden="false" customHeight="true" outlineLevel="0" collapsed="false">
      <c r="A5" s="49" t="s">
        <v>119</v>
      </c>
      <c r="B5" s="49" t="s">
        <v>89</v>
      </c>
      <c r="C5" s="49" t="s">
        <v>90</v>
      </c>
      <c r="D5" s="49" t="s">
        <v>91</v>
      </c>
      <c r="E5" s="49" t="s">
        <v>92</v>
      </c>
      <c r="F5" s="49" t="s">
        <v>93</v>
      </c>
    </row>
    <row r="6" customFormat="false" ht="15" hidden="false" customHeight="true" outlineLevel="0" collapsed="false">
      <c r="A6" s="44" t="s">
        <v>32</v>
      </c>
      <c r="B6" s="54" t="n">
        <f aca="false">Assumptions!$B$6</f>
        <v>12</v>
      </c>
      <c r="C6" s="54" t="n">
        <f aca="false">B8</f>
        <v>14.16</v>
      </c>
      <c r="D6" s="54" t="n">
        <f aca="false">C8</f>
        <v>16.4256</v>
      </c>
      <c r="E6" s="54" t="n">
        <f aca="false">D8</f>
        <v>18.725184</v>
      </c>
      <c r="F6" s="54" t="n">
        <f aca="false">E8</f>
        <v>20.97220608</v>
      </c>
    </row>
    <row r="7" customFormat="false" ht="15" hidden="false" customHeight="true" outlineLevel="0" collapsed="false">
      <c r="A7" s="44" t="s">
        <v>137</v>
      </c>
      <c r="B7" s="56" t="n">
        <f aca="false">MAX(0,Assumptions!$B$55-Assumptions!$B$8*0)</f>
        <v>0.18</v>
      </c>
      <c r="C7" s="56" t="n">
        <f aca="false">MAX(0,Assumptions!$B$55-Assumptions!$B$8*1)</f>
        <v>0.16</v>
      </c>
      <c r="D7" s="56" t="n">
        <f aca="false">MAX(0,Assumptions!$B$55-Assumptions!$B$8*2)</f>
        <v>0.14</v>
      </c>
      <c r="E7" s="56" t="n">
        <f aca="false">MAX(0,Assumptions!$B$55-Assumptions!$B$8*3)</f>
        <v>0.12</v>
      </c>
      <c r="F7" s="56" t="n">
        <f aca="false">MAX(0,Assumptions!$B$55-Assumptions!$B$8*4)</f>
        <v>0.1</v>
      </c>
    </row>
    <row r="8" customFormat="false" ht="15" hidden="false" customHeight="true" outlineLevel="0" collapsed="false">
      <c r="A8" s="44" t="s">
        <v>124</v>
      </c>
      <c r="B8" s="57" t="n">
        <f aca="false">B6*(1+B7)</f>
        <v>14.16</v>
      </c>
      <c r="C8" s="57" t="n">
        <f aca="false">C6*(1+C7)</f>
        <v>16.4256</v>
      </c>
      <c r="D8" s="57" t="n">
        <f aca="false">D6*(1+D7)</f>
        <v>18.725184</v>
      </c>
      <c r="E8" s="57" t="n">
        <f aca="false">E6*(1+E7)</f>
        <v>20.97220608</v>
      </c>
      <c r="F8" s="57" t="n">
        <f aca="false">F6*(1+F7)</f>
        <v>23.069426688</v>
      </c>
    </row>
    <row r="9" customFormat="false" ht="15" hidden="false" customHeight="true" outlineLevel="0" collapsed="false">
      <c r="A9" s="44" t="s">
        <v>327</v>
      </c>
      <c r="B9" s="54" t="n">
        <f aca="false">B8-B6*Assumptions!$B$56</f>
        <v>2.16</v>
      </c>
      <c r="C9" s="54" t="n">
        <f aca="false">C8-C6*Assumptions!$B$56</f>
        <v>2.2656</v>
      </c>
      <c r="D9" s="54" t="n">
        <f aca="false">D8-D6*Assumptions!$B$56</f>
        <v>2.299584</v>
      </c>
      <c r="E9" s="54" t="n">
        <f aca="false">E8-E6*Assumptions!$B$56</f>
        <v>2.24702208</v>
      </c>
      <c r="F9" s="54" t="n">
        <f aca="false">F8-F6*Assumptions!$B$56</f>
        <v>2.097220608</v>
      </c>
    </row>
    <row r="10" customFormat="false" ht="15" hidden="false" customHeight="true" outlineLevel="0" collapsed="false">
      <c r="A10" s="44" t="s">
        <v>140</v>
      </c>
      <c r="B10" s="54" t="n">
        <f aca="false">-B6*(1-Assumptions!$B$57)</f>
        <v>-2.16</v>
      </c>
      <c r="C10" s="54" t="n">
        <f aca="false">-C6*(1-Assumptions!$B$57)</f>
        <v>-2.5488</v>
      </c>
      <c r="D10" s="54" t="n">
        <f aca="false">-D6*(1-Assumptions!$B$57)</f>
        <v>-2.956608</v>
      </c>
      <c r="E10" s="54" t="n">
        <f aca="false">-E6*(1-Assumptions!$B$57)</f>
        <v>-3.37053312</v>
      </c>
      <c r="F10" s="54" t="n">
        <f aca="false">-F6*(1-Assumptions!$B$57)</f>
        <v>-3.7749970944</v>
      </c>
    </row>
    <row r="11" customFormat="false" ht="15" hidden="false" customHeight="true" outlineLevel="0" collapsed="false">
      <c r="A11" s="44" t="s">
        <v>127</v>
      </c>
      <c r="B11" s="54" t="n">
        <f aca="false">(B6+B8)/2</f>
        <v>13.08</v>
      </c>
      <c r="C11" s="54" t="n">
        <f aca="false">(C6+C8)/2</f>
        <v>15.2928</v>
      </c>
      <c r="D11" s="54" t="n">
        <f aca="false">(D6+D8)/2</f>
        <v>17.575392</v>
      </c>
      <c r="E11" s="54" t="n">
        <f aca="false">(E6+E8)/2</f>
        <v>19.84869504</v>
      </c>
      <c r="F11" s="54" t="n">
        <f aca="false">(F6+F8)/2</f>
        <v>22.020816384</v>
      </c>
    </row>
    <row r="12" customFormat="false" ht="15" hidden="false" customHeight="true" outlineLevel="0" collapsed="false">
      <c r="A12" s="44" t="s">
        <v>128</v>
      </c>
      <c r="B12" s="54" t="n">
        <f aca="false">B11*Assumptions!$B$58</f>
        <v>9.6792</v>
      </c>
      <c r="C12" s="54" t="n">
        <f aca="false">C11*Assumptions!$B$58</f>
        <v>11.316672</v>
      </c>
      <c r="D12" s="54" t="n">
        <f aca="false">D11*Assumptions!$B$58</f>
        <v>13.00579008</v>
      </c>
      <c r="E12" s="54" t="n">
        <f aca="false">E11*Assumptions!$B$58</f>
        <v>14.6880343296</v>
      </c>
      <c r="F12" s="54" t="n">
        <f aca="false">F11*Assumptions!$B$58</f>
        <v>16.29540412416</v>
      </c>
    </row>
    <row r="13" customFormat="false" ht="15" hidden="false" customHeight="true" outlineLevel="0" collapsed="false">
      <c r="A13" s="44" t="s">
        <v>129</v>
      </c>
      <c r="B13" s="54" t="n">
        <f aca="false">-B11*(Assumptions!B$21+Assumptions!$B$59+Assumptions!B$22+Assumptions!B$23)</f>
        <v>-14.1264</v>
      </c>
      <c r="C13" s="54" t="n">
        <f aca="false">-C11*(Assumptions!C$21+Assumptions!$B$59+Assumptions!C$22+Assumptions!C$23)</f>
        <v>-15.445728</v>
      </c>
      <c r="D13" s="54" t="n">
        <f aca="false">-D11*(Assumptions!D$21+Assumptions!$B$59+Assumptions!D$22+Assumptions!D$23)</f>
        <v>-16.52086848</v>
      </c>
      <c r="E13" s="54" t="n">
        <f aca="false">-E11*(Assumptions!E$21+Assumptions!$B$59+Assumptions!E$22+Assumptions!E$23)</f>
        <v>-17.2683646848</v>
      </c>
      <c r="F13" s="54" t="n">
        <f aca="false">-F11*(Assumptions!F$21+Assumptions!$B$59+Assumptions!F$22+Assumptions!F$23)</f>
        <v>-17.6166531072</v>
      </c>
    </row>
    <row r="14" customFormat="false" ht="15" hidden="false" customHeight="true" outlineLevel="0" collapsed="false">
      <c r="A14" s="44" t="s">
        <v>130</v>
      </c>
      <c r="B14" s="57" t="n">
        <f aca="false">B12+B13</f>
        <v>-4.4472</v>
      </c>
      <c r="C14" s="57" t="n">
        <f aca="false">C12+C13</f>
        <v>-4.129056</v>
      </c>
      <c r="D14" s="57" t="n">
        <f aca="false">D12+D13</f>
        <v>-3.5150784</v>
      </c>
      <c r="E14" s="57" t="n">
        <f aca="false">E12+E13</f>
        <v>-2.5803303552</v>
      </c>
      <c r="F14" s="57" t="n">
        <f aca="false">F12+F13</f>
        <v>-1.32124898304</v>
      </c>
    </row>
    <row r="15" customFormat="false" ht="15" hidden="false" customHeight="true" outlineLevel="0" collapsed="false">
      <c r="A15" s="44" t="s">
        <v>144</v>
      </c>
      <c r="B15" s="54" t="n">
        <f aca="false">-B11*Assumptions!$B$12</f>
        <v>-0.2616</v>
      </c>
      <c r="C15" s="54" t="n">
        <f aca="false">-C11*Assumptions!$B$12</f>
        <v>-0.305856</v>
      </c>
      <c r="D15" s="54" t="n">
        <f aca="false">-D11*Assumptions!$B$12</f>
        <v>-0.35150784</v>
      </c>
      <c r="E15" s="54" t="n">
        <f aca="false">-E11*Assumptions!$B$12</f>
        <v>-0.3969739008</v>
      </c>
      <c r="F15" s="54" t="n">
        <f aca="false">-F11*Assumptions!$B$12</f>
        <v>-0.44041632768</v>
      </c>
    </row>
    <row r="16" customFormat="false" ht="15" hidden="false" customHeight="true" outlineLevel="0" collapsed="false">
      <c r="A16" s="44" t="s">
        <v>145</v>
      </c>
      <c r="B16" s="54" t="n">
        <f aca="false">(B8-B6)*Assumptions!$B$13</f>
        <v>0.216</v>
      </c>
      <c r="C16" s="54" t="n">
        <f aca="false">(C8-C6)*Assumptions!$B$13</f>
        <v>0.22656</v>
      </c>
      <c r="D16" s="54" t="n">
        <f aca="false">(D8-D6)*Assumptions!$B$13</f>
        <v>0.2299584</v>
      </c>
      <c r="E16" s="54" t="n">
        <f aca="false">(E8-E6)*Assumptions!$B$13</f>
        <v>0.224702208</v>
      </c>
      <c r="F16" s="54" t="n">
        <f aca="false">(F8-F6)*Assumptions!$B$13</f>
        <v>0.2097220608</v>
      </c>
    </row>
    <row r="17" customFormat="false" ht="15" hidden="false" customHeight="true" outlineLevel="0" collapsed="false">
      <c r="A17" s="44" t="s">
        <v>146</v>
      </c>
      <c r="B17" s="57" t="n">
        <f aca="false">B14+B15+B16</f>
        <v>-4.4928</v>
      </c>
      <c r="C17" s="57" t="n">
        <f aca="false">C14+C15+C16</f>
        <v>-4.208352</v>
      </c>
      <c r="D17" s="57" t="n">
        <f aca="false">D14+D15+D16</f>
        <v>-3.63662784</v>
      </c>
      <c r="E17" s="57" t="n">
        <f aca="false">E14+E15+E16</f>
        <v>-2.752602048</v>
      </c>
      <c r="F17" s="57" t="n">
        <f aca="false">F14+F15+F16</f>
        <v>-1.55194324992</v>
      </c>
    </row>
    <row r="19" customFormat="false" ht="15" hidden="false" customHeight="true" outlineLevel="0" collapsed="false">
      <c r="A19" s="4" t="s">
        <v>328</v>
      </c>
      <c r="B19" s="4"/>
      <c r="C19" s="4"/>
      <c r="D19" s="4"/>
      <c r="E19" s="4"/>
      <c r="F19" s="4"/>
    </row>
    <row r="20" customFormat="false" ht="15" hidden="false" customHeight="true" outlineLevel="0" collapsed="false">
      <c r="A20" s="49" t="s">
        <v>329</v>
      </c>
      <c r="B20" s="49" t="s">
        <v>89</v>
      </c>
      <c r="C20" s="49" t="s">
        <v>90</v>
      </c>
      <c r="D20" s="49" t="s">
        <v>91</v>
      </c>
      <c r="E20" s="49" t="s">
        <v>92</v>
      </c>
      <c r="F20" s="49" t="s">
        <v>93</v>
      </c>
    </row>
    <row r="21" customFormat="false" ht="15" hidden="false" customHeight="true" outlineLevel="0" collapsed="false">
      <c r="A21" s="44" t="s">
        <v>42</v>
      </c>
      <c r="B21" s="54" t="n">
        <f aca="false">'Capital Structures'!B13+B17</f>
        <v>20.5072</v>
      </c>
      <c r="C21" s="54" t="n">
        <f aca="false">B21+C17</f>
        <v>16.298848</v>
      </c>
      <c r="D21" s="54" t="n">
        <f aca="false">C21+D17</f>
        <v>12.66222016</v>
      </c>
      <c r="E21" s="54" t="n">
        <f aca="false">D21+E17</f>
        <v>9.909618112</v>
      </c>
      <c r="F21" s="54" t="n">
        <f aca="false">E21+F17</f>
        <v>8.35767486208</v>
      </c>
    </row>
    <row r="22" customFormat="false" ht="15" hidden="false" customHeight="true" outlineLevel="0" collapsed="false">
      <c r="A22" s="44" t="s">
        <v>43</v>
      </c>
      <c r="B22" s="54" t="n">
        <f aca="false">'Capital Structures'!C13+B17-'Private Credit Case'!B8-'Private Credit Case'!B10</f>
        <v>17.8072</v>
      </c>
      <c r="C22" s="54" t="n">
        <f aca="false">B22+C17-'Private Credit Case'!C8-'Private Credit Case'!C10</f>
        <v>11.298848</v>
      </c>
      <c r="D22" s="54" t="n">
        <f aca="false">C22+D17-'Private Credit Case'!D8-'Private Credit Case'!D10</f>
        <v>5.36222016</v>
      </c>
      <c r="E22" s="54" t="n">
        <f aca="false">D22+E17-'Private Credit Case'!E8-'Private Credit Case'!E10</f>
        <v>-0.690381887999996</v>
      </c>
      <c r="F22" s="54" t="n">
        <f aca="false">E22+F17-'Private Credit Case'!F8-'Private Credit Case'!F10</f>
        <v>-5.42732513792</v>
      </c>
    </row>
    <row r="23" customFormat="false" ht="15" hidden="false" customHeight="true" outlineLevel="0" collapsed="false">
      <c r="A23" s="44" t="s">
        <v>163</v>
      </c>
      <c r="B23" s="54" t="n">
        <f aca="false">'Capital Structures'!D13+B17-'Blended Capital Case'!B8-'Blended Capital Case'!B10</f>
        <v>19.0072</v>
      </c>
      <c r="C23" s="54" t="n">
        <f aca="false">B23+C17-'Blended Capital Case'!C8-'Blended Capital Case'!C10</f>
        <v>13.478848</v>
      </c>
      <c r="D23" s="54" t="n">
        <f aca="false">C23+D17-'Blended Capital Case'!D8-'Blended Capital Case'!D10</f>
        <v>8.52222016</v>
      </c>
      <c r="E23" s="54" t="n">
        <f aca="false">D23+E17-'Blended Capital Case'!E8-'Blended Capital Case'!E10</f>
        <v>3.849618112</v>
      </c>
      <c r="F23" s="54" t="n">
        <f aca="false">E23+F17-'Blended Capital Case'!F8-'Blended Capital Case'!F10</f>
        <v>0.443674862080004</v>
      </c>
    </row>
    <row r="25" customFormat="false" ht="23.25" hidden="false" customHeight="true" outlineLevel="0" collapsed="false">
      <c r="A25" s="49" t="s">
        <v>264</v>
      </c>
      <c r="B25" s="49" t="s">
        <v>51</v>
      </c>
      <c r="C25" s="49" t="s">
        <v>330</v>
      </c>
      <c r="D25" s="49" t="s">
        <v>331</v>
      </c>
    </row>
    <row r="26" customFormat="false" ht="15" hidden="false" customHeight="true" outlineLevel="0" collapsed="false">
      <c r="A26" s="44" t="s">
        <v>42</v>
      </c>
      <c r="B26" s="57" t="n">
        <f aca="false">F21</f>
        <v>8.35767486208</v>
      </c>
      <c r="C26" s="55" t="str">
        <f aca="false">IF(F21&gt;0,"Yes","No")</f>
        <v>Yes</v>
      </c>
      <c r="D26" s="55" t="str">
        <f aca="false">IF(F21&lt;=0,"Fails: runs out of cash",IF(MIN(B21:F21)&lt;Assumptions!$B$30,"Survives but breaches the minimum cash covenant","Survives with covenant headroom"))</f>
        <v>Survives with covenant headroom</v>
      </c>
    </row>
    <row r="27" customFormat="false" ht="15" hidden="false" customHeight="true" outlineLevel="0" collapsed="false">
      <c r="A27" s="44" t="s">
        <v>43</v>
      </c>
      <c r="B27" s="57" t="n">
        <f aca="false">F22</f>
        <v>-5.42732513792</v>
      </c>
      <c r="C27" s="55" t="str">
        <f aca="false">IF(F22&gt;0,"Yes","No")</f>
        <v>No</v>
      </c>
      <c r="D27" s="55" t="str">
        <f aca="false">IF(F22&lt;=0,"Fails: runs out of cash",IF(MIN(B22:F22)&lt;Assumptions!$B$30,"Survives but breaches the minimum cash covenant","Survives with covenant headroom"))</f>
        <v>Fails: runs out of cash</v>
      </c>
    </row>
    <row r="28" customFormat="false" ht="15" hidden="false" customHeight="true" outlineLevel="0" collapsed="false">
      <c r="A28" s="44" t="s">
        <v>163</v>
      </c>
      <c r="B28" s="57" t="n">
        <f aca="false">F23</f>
        <v>0.443674862080004</v>
      </c>
      <c r="C28" s="55" t="str">
        <f aca="false">IF(F23&gt;0,"Yes","No")</f>
        <v>Yes</v>
      </c>
      <c r="D28" s="55" t="str">
        <f aca="false">IF(F23&lt;=0,"Fails: runs out of cash",IF(MIN(B23:F23)&lt;Assumptions!$B$30,"Survives but breaches the minimum cash covenant","Survives with covenant headroom"))</f>
        <v>Survives but breaches the minimum cash covenant</v>
      </c>
    </row>
    <row r="30" customFormat="false" ht="61.5" hidden="false" customHeight="true" outlineLevel="0" collapsed="false">
      <c r="A30" s="60" t="s">
        <v>332</v>
      </c>
      <c r="B30" s="60"/>
      <c r="C30" s="60"/>
      <c r="D30" s="60"/>
      <c r="E30" s="60"/>
      <c r="F30" s="60"/>
    </row>
    <row r="32" customFormat="false" ht="15" hidden="false" customHeight="true" outlineLevel="0" collapsed="false">
      <c r="A32" s="50" t="s">
        <v>76</v>
      </c>
    </row>
  </sheetData>
  <mergeCells count="5">
    <mergeCell ref="A1:F1"/>
    <mergeCell ref="A2:F2"/>
    <mergeCell ref="A3:F3"/>
    <mergeCell ref="A19:F19"/>
    <mergeCell ref="A30:F30"/>
  </mergeCells>
  <conditionalFormatting sqref="B14:F14">
    <cfRule type="cellIs" priority="2" operator="lessThan" aboveAverage="0" equalAverage="0" bottom="0" percent="0" rank="0" text="" dxfId="11">
      <formula>0</formula>
    </cfRule>
  </conditionalFormatting>
  <conditionalFormatting sqref="B21:F21">
    <cfRule type="cellIs" priority="3" operator="lessThan" aboveAverage="0" equalAverage="0" bottom="0" percent="0" rank="0" text="" dxfId="12">
      <formula>Assumptions!$B$30</formula>
    </cfRule>
  </conditionalFormatting>
  <conditionalFormatting sqref="B22:F22">
    <cfRule type="cellIs" priority="4" operator="lessThan" aboveAverage="0" equalAverage="0" bottom="0" percent="0" rank="0" text="" dxfId="12">
      <formula>Assumptions!$B$30</formula>
    </cfRule>
  </conditionalFormatting>
  <conditionalFormatting sqref="B23:F23">
    <cfRule type="cellIs" priority="5" operator="lessThan" aboveAverage="0" equalAverage="0" bottom="0" percent="0" rank="0" text="" dxfId="12">
      <formula>Assumptions!$B$30</formula>
    </cfRule>
  </conditionalFormatting>
  <printOptions headings="false" gridLines="false" gridLinesSet="true" horizontalCentered="false" verticalCentered="false"/>
  <pageMargins left="0.35" right="0.35" top="0.5" bottom="0.5"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All figures are hypothetical and illustrative.&amp;R&amp;8 Page &amp;P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A57"/>
    <pageSetUpPr fitToPage="tru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4" min="3" style="1" width="12"/>
    <col collapsed="false" customWidth="true" hidden="false" outlineLevel="0" max="5" min="5" style="1" width="34"/>
    <col collapsed="false" customWidth="true" hidden="false" outlineLevel="0" max="6" min="6" style="1" width="12"/>
  </cols>
  <sheetData>
    <row r="1" customFormat="false" ht="21.75" hidden="false" customHeight="true" outlineLevel="0" collapsed="false">
      <c r="A1" s="8" t="s">
        <v>333</v>
      </c>
      <c r="B1" s="8"/>
      <c r="C1" s="8"/>
      <c r="D1" s="8"/>
      <c r="E1" s="8"/>
      <c r="F1" s="8"/>
    </row>
    <row r="2" customFormat="false" ht="15" hidden="false" customHeight="true" outlineLevel="0" collapsed="false">
      <c r="A2" s="10" t="s">
        <v>334</v>
      </c>
      <c r="B2" s="10"/>
      <c r="C2" s="10"/>
      <c r="D2" s="10"/>
      <c r="E2" s="10"/>
      <c r="F2" s="10"/>
    </row>
    <row r="3" customFormat="false" ht="15" hidden="false" customHeight="true" outlineLevel="0" collapsed="false">
      <c r="A3" s="92" t="s">
        <v>335</v>
      </c>
      <c r="B3" s="92"/>
      <c r="C3" s="92"/>
      <c r="D3" s="92"/>
      <c r="E3" s="92"/>
      <c r="F3" s="92"/>
    </row>
    <row r="5" customFormat="false" ht="18.75" hidden="false" customHeight="true" outlineLevel="0" collapsed="false">
      <c r="A5" s="14" t="s">
        <v>336</v>
      </c>
      <c r="B5" s="14"/>
      <c r="C5" s="14"/>
      <c r="D5" s="14"/>
      <c r="E5" s="14"/>
      <c r="F5" s="14"/>
    </row>
    <row r="6" customFormat="false" ht="21.75" hidden="false" customHeight="true" outlineLevel="0" collapsed="false">
      <c r="A6" s="19" t="s">
        <v>337</v>
      </c>
      <c r="B6" s="20" t="s">
        <v>338</v>
      </c>
      <c r="C6" s="20" t="s">
        <v>339</v>
      </c>
      <c r="D6" s="20" t="s">
        <v>340</v>
      </c>
      <c r="E6" s="20" t="s">
        <v>341</v>
      </c>
      <c r="F6" s="20"/>
    </row>
    <row r="7" customFormat="false" ht="15" hidden="false" customHeight="true" outlineLevel="0" collapsed="false">
      <c r="A7" s="21" t="s">
        <v>342</v>
      </c>
      <c r="B7" s="93" t="n">
        <f aca="false">MAX(ABS('Operating Forecast'!B12-('Operating Forecast'!B7+'Operating Forecast'!B9+'Operating Forecast'!B10+'Operating Forecast'!B11)),ABS('Operating Forecast'!C12-('Operating Forecast'!C7+'Operating Forecast'!C9+'Operating Forecast'!C10+'Operating Forecast'!C11)),ABS('Operating Forecast'!D12-('Operating Forecast'!D7+'Operating Forecast'!D9+'Operating Forecast'!D10+'Operating Forecast'!D11)),ABS('Operating Forecast'!E12-('Operating Forecast'!E7+'Operating Forecast'!E9+'Operating Forecast'!E10+'Operating Forecast'!E11)),ABS('Operating Forecast'!F12-('Operating Forecast'!F7+'Operating Forecast'!F9+'Operating Forecast'!F10+'Operating Forecast'!F11)))</f>
        <v>0</v>
      </c>
      <c r="C7" s="94" t="n">
        <v>0.0001</v>
      </c>
      <c r="D7" s="95" t="str">
        <f aca="false">IF(ABS(B7)&lt;=C7,"OK","ERROR")</f>
        <v>OK</v>
      </c>
      <c r="E7" s="24" t="s">
        <v>343</v>
      </c>
      <c r="F7" s="24"/>
    </row>
    <row r="8" customFormat="false" ht="15" hidden="false" customHeight="true" outlineLevel="0" collapsed="false">
      <c r="A8" s="25" t="s">
        <v>344</v>
      </c>
      <c r="B8" s="96" t="n">
        <f aca="false">MAX(ABS('Operating Forecast'!B15-('Operating Forecast'!B7+'Operating Forecast'!B12)/2),ABS('Operating Forecast'!F15-('Operating Forecast'!F7+'Operating Forecast'!F12)/2))</f>
        <v>0</v>
      </c>
      <c r="C8" s="97" t="n">
        <v>0.0001</v>
      </c>
      <c r="D8" s="98" t="str">
        <f aca="false">IF(ABS(B8)&lt;=C8,"OK","ERROR")</f>
        <v>OK</v>
      </c>
      <c r="E8" s="15" t="s">
        <v>345</v>
      </c>
      <c r="F8" s="15"/>
    </row>
    <row r="9" customFormat="false" ht="15" hidden="false" customHeight="true" outlineLevel="0" collapsed="false">
      <c r="A9" s="21" t="s">
        <v>346</v>
      </c>
      <c r="B9" s="93" t="n">
        <f aca="false">MAX(ABS('Capital Structures'!B6-Assumptions!B26),ABS('Capital Structures'!C6-Assumptions!B26),ABS('Capital Structures'!D6-Assumptions!B26))</f>
        <v>0</v>
      </c>
      <c r="C9" s="94" t="n">
        <v>0.0001</v>
      </c>
      <c r="D9" s="95" t="str">
        <f aca="false">IF(ABS(B9)&lt;=C9,"OK","ERROR")</f>
        <v>OK</v>
      </c>
      <c r="E9" s="24" t="s">
        <v>347</v>
      </c>
      <c r="F9" s="24"/>
    </row>
    <row r="10" customFormat="false" ht="15" hidden="false" customHeight="true" outlineLevel="0" collapsed="false">
      <c r="A10" s="25" t="s">
        <v>348</v>
      </c>
      <c r="B10" s="96" t="n">
        <f aca="false">ABS('Growth Equity Case'!F11-('Capital Structures'!B13+SUM('Operating Forecast'!B28:F28)))</f>
        <v>0</v>
      </c>
      <c r="C10" s="97" t="n">
        <v>0.0001</v>
      </c>
      <c r="D10" s="98" t="str">
        <f aca="false">IF(ABS(B10)&lt;=C10,"OK","ERROR")</f>
        <v>OK</v>
      </c>
      <c r="E10" s="15" t="s">
        <v>349</v>
      </c>
      <c r="F10" s="15"/>
    </row>
    <row r="11" customFormat="false" ht="15" hidden="false" customHeight="true" outlineLevel="0" collapsed="false">
      <c r="A11" s="21" t="s">
        <v>350</v>
      </c>
      <c r="B11" s="93" t="n">
        <f aca="false">ABS('Private Credit Case'!F23-('Capital Structures'!C13+SUM('Operating Forecast'!B28:F28)-SUM('Private Credit Case'!B11:F11)))</f>
        <v>0</v>
      </c>
      <c r="C11" s="94" t="n">
        <v>0.0001</v>
      </c>
      <c r="D11" s="95" t="str">
        <f aca="false">IF(ABS(B11)&lt;=C11,"OK","ERROR")</f>
        <v>OK</v>
      </c>
      <c r="E11" s="24" t="s">
        <v>349</v>
      </c>
      <c r="F11" s="24"/>
    </row>
    <row r="12" customFormat="false" ht="15" hidden="false" customHeight="true" outlineLevel="0" collapsed="false">
      <c r="A12" s="25" t="s">
        <v>351</v>
      </c>
      <c r="B12" s="96" t="n">
        <f aca="false">ABS('Blended Capital Case'!F23-('Capital Structures'!D13+SUM('Operating Forecast'!B28:F28)-SUM('Blended Capital Case'!B11:F11)))</f>
        <v>0</v>
      </c>
      <c r="C12" s="97" t="n">
        <v>0.0001</v>
      </c>
      <c r="D12" s="98" t="str">
        <f aca="false">IF(ABS(B12)&lt;=C12,"OK","ERROR")</f>
        <v>OK</v>
      </c>
      <c r="E12" s="15" t="s">
        <v>349</v>
      </c>
      <c r="F12" s="15"/>
    </row>
    <row r="13" customFormat="false" ht="15" hidden="false" customHeight="true" outlineLevel="0" collapsed="false">
      <c r="A13" s="21" t="s">
        <v>352</v>
      </c>
      <c r="B13" s="93" t="n">
        <f aca="false">MAX(ABS('Private Credit Case'!B12-'Private Credit Case'!C7),ABS('Blended Capital Case'!B12-'Blended Capital Case'!C7))</f>
        <v>0</v>
      </c>
      <c r="C13" s="94" t="n">
        <v>0.0001</v>
      </c>
      <c r="D13" s="95" t="str">
        <f aca="false">IF(ABS(B13)&lt;=C13,"OK","ERROR")</f>
        <v>OK</v>
      </c>
      <c r="E13" s="24" t="s">
        <v>353</v>
      </c>
      <c r="F13" s="24"/>
    </row>
    <row r="14" customFormat="false" ht="15" hidden="false" customHeight="true" outlineLevel="0" collapsed="false">
      <c r="A14" s="25" t="s">
        <v>354</v>
      </c>
      <c r="B14" s="96" t="n">
        <f aca="false">MAX(ABS('Growth Equity Case'!B23-('Growth Equity Case'!B20+'Growth Equity Case'!B21+'Growth Equity Case'!B22)),ABS('Blended Capital Case'!B35-('Blended Capital Case'!B32+'Blended Capital Case'!B33+'Blended Capital Case'!B34)))</f>
        <v>0</v>
      </c>
      <c r="C14" s="97" t="n">
        <v>0.0001</v>
      </c>
      <c r="D14" s="98" t="str">
        <f aca="false">IF(ABS(B14)&lt;=C14,"OK","ERROR")</f>
        <v>OK</v>
      </c>
      <c r="E14" s="15" t="s">
        <v>355</v>
      </c>
      <c r="F14" s="15"/>
    </row>
    <row r="15" customFormat="false" ht="15" hidden="false" customHeight="true" outlineLevel="0" collapsed="false">
      <c r="A15" s="21" t="s">
        <v>274</v>
      </c>
      <c r="B15" s="93" t="n">
        <f aca="false">ABS('IC Summary'!D32-('IC Summary'!D31-'IC Summary'!D30))</f>
        <v>0</v>
      </c>
      <c r="C15" s="94" t="n">
        <v>0.0001</v>
      </c>
      <c r="D15" s="95" t="str">
        <f aca="false">IF(ABS(B15)&lt;=C15,"OK","ERROR")</f>
        <v>OK</v>
      </c>
      <c r="E15" s="24" t="s">
        <v>356</v>
      </c>
      <c r="F15" s="24"/>
    </row>
    <row r="16" customFormat="false" ht="15" hidden="false" customHeight="true" outlineLevel="0" collapsed="false">
      <c r="A16" s="25" t="s">
        <v>357</v>
      </c>
      <c r="B16" s="96" t="n">
        <f aca="false">ABS('Downside Case'!F23-('Capital Structures'!D13+SUM('Downside Case'!B17:F17)-SUM('Blended Capital Case'!B11:F11)))</f>
        <v>0</v>
      </c>
      <c r="C16" s="97" t="n">
        <v>0.0001</v>
      </c>
      <c r="D16" s="98" t="str">
        <f aca="false">IF(ABS(B16)&lt;=C16,"OK","ERROR")</f>
        <v>OK</v>
      </c>
      <c r="E16" s="15" t="s">
        <v>358</v>
      </c>
      <c r="F16" s="15"/>
    </row>
    <row r="19" customFormat="false" ht="18.75" hidden="false" customHeight="true" outlineLevel="0" collapsed="false">
      <c r="A19" s="14" t="s">
        <v>359</v>
      </c>
      <c r="B19" s="14"/>
      <c r="C19" s="14"/>
      <c r="D19" s="14"/>
      <c r="E19" s="14"/>
      <c r="F19" s="14"/>
    </row>
    <row r="20" customFormat="false" ht="15" hidden="false" customHeight="true" outlineLevel="0" collapsed="false">
      <c r="A20" s="25" t="s">
        <v>360</v>
      </c>
      <c r="B20" s="98" t="str">
        <f aca="false">IF(MIN('Private Credit Case'!B23:F23)&lt;Assumptions!B30,"OK","REVIEW")</f>
        <v>OK</v>
      </c>
      <c r="C20" s="15" t="s">
        <v>361</v>
      </c>
      <c r="D20" s="15"/>
      <c r="E20" s="15"/>
      <c r="F20" s="15"/>
    </row>
    <row r="21" customFormat="false" ht="15" hidden="false" customHeight="true" outlineLevel="0" collapsed="false">
      <c r="A21" s="25" t="s">
        <v>362</v>
      </c>
      <c r="B21" s="98" t="str">
        <f aca="false">IF(MIN('Blended Capital Case'!B23:F23)&gt;=Assumptions!B30,"OK","REVIEW")</f>
        <v>OK</v>
      </c>
      <c r="C21" s="15" t="s">
        <v>363</v>
      </c>
      <c r="D21" s="15"/>
      <c r="E21" s="15"/>
      <c r="F21" s="15"/>
    </row>
    <row r="22" customFormat="false" ht="15" hidden="false" customHeight="true" outlineLevel="0" collapsed="false">
      <c r="A22" s="25" t="s">
        <v>364</v>
      </c>
      <c r="B22" s="98" t="str">
        <f aca="false">IF(MIN('Downside Case'!B23:F23)&lt;Assumptions!B30,"OK","REVIEW")</f>
        <v>OK</v>
      </c>
      <c r="C22" s="15" t="s">
        <v>365</v>
      </c>
      <c r="D22" s="15"/>
      <c r="E22" s="15"/>
      <c r="F22" s="15"/>
    </row>
    <row r="23" customFormat="false" ht="15" hidden="false" customHeight="true" outlineLevel="0" collapsed="false">
      <c r="A23" s="25" t="s">
        <v>366</v>
      </c>
      <c r="B23" s="98" t="str">
        <f aca="false">IF(AND('IC Summary'!D23&gt;0,'IC Summary'!D24&gt;0,'IC Summary'!D25&gt;=0,'IC Summary'!D26&gt;0,'IC Summary'!D27&gt;=0,'IC Summary'!D30&gt;0,'IC Summary'!D31&gt;0,'IC Summary'!D32&gt;=0),"OK","REVIEW")</f>
        <v>OK</v>
      </c>
      <c r="C23" s="15" t="s">
        <v>367</v>
      </c>
      <c r="D23" s="15"/>
      <c r="E23" s="15"/>
      <c r="F23" s="15"/>
    </row>
  </sheetData>
  <mergeCells count="19">
    <mergeCell ref="A1:F1"/>
    <mergeCell ref="A2:F2"/>
    <mergeCell ref="A3:F3"/>
    <mergeCell ref="A5:F5"/>
    <mergeCell ref="E7:F7"/>
    <mergeCell ref="E8:F8"/>
    <mergeCell ref="E9:F9"/>
    <mergeCell ref="E10:F10"/>
    <mergeCell ref="E11:F11"/>
    <mergeCell ref="E12:F12"/>
    <mergeCell ref="E13:F13"/>
    <mergeCell ref="E14:F14"/>
    <mergeCell ref="E15:F15"/>
    <mergeCell ref="E16:F16"/>
    <mergeCell ref="A19:F19"/>
    <mergeCell ref="C20:F20"/>
    <mergeCell ref="C21:F21"/>
    <mergeCell ref="C22:F22"/>
    <mergeCell ref="C23:F23"/>
  </mergeCells>
  <conditionalFormatting sqref="D7:D16">
    <cfRule type="cellIs" priority="2" operator="equal" aboveAverage="0" equalAverage="0" bottom="0" percent="0" rank="0" text="" dxfId="13">
      <formula>"ERROR"</formula>
    </cfRule>
    <cfRule type="cellIs" priority="3" operator="equal" aboveAverage="0" equalAverage="0" bottom="0" percent="0" rank="0" text="" dxfId="14">
      <formula>"OK"</formula>
    </cfRule>
  </conditionalFormatting>
  <printOptions headings="false" gridLines="false" gridLinesSet="true" horizontalCentered="false" verticalCentered="false"/>
  <pageMargins left="0.35" right="0.35" top="0.5" bottom="0.5" header="0.511811023622047" footer="0.5"/>
  <pageSetup paperSize="1" scale="100" fitToWidth="1" fitToHeight="1" pageOrder="downThenOver" orientation="landscape" blackAndWhite="false" draft="false" cellComments="none" horizontalDpi="300" verticalDpi="300" copies="1"/>
  <headerFooter differentFirst="false" differentOddEven="false">
    <oddHeader/>
    <oddFooter>&amp;C&amp;8 All figures are hypothetical and illustrative.&amp;R&amp;8 Page &amp;P of &amp;N</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108"/>
  </cols>
  <sheetData>
    <row r="1" customFormat="false" ht="19.5" hidden="false" customHeight="true" outlineLevel="0" collapsed="false">
      <c r="A1" s="2" t="s">
        <v>368</v>
      </c>
    </row>
    <row r="2" customFormat="false" ht="15" hidden="false" customHeight="true" outlineLevel="0" collapsed="false">
      <c r="A2" s="3" t="s">
        <v>369</v>
      </c>
    </row>
    <row r="4" customFormat="false" ht="30" hidden="false" customHeight="true" outlineLevel="0" collapsed="false">
      <c r="A4" s="4" t="s">
        <v>370</v>
      </c>
      <c r="B4" s="5" t="s">
        <v>3</v>
      </c>
    </row>
    <row r="5" customFormat="false" ht="39" hidden="false" customHeight="true" outlineLevel="0" collapsed="false">
      <c r="A5" s="4" t="s">
        <v>371</v>
      </c>
      <c r="B5" s="5" t="s">
        <v>372</v>
      </c>
    </row>
    <row r="6" customFormat="false" ht="39" hidden="false" customHeight="true" outlineLevel="0" collapsed="false">
      <c r="A6" s="4" t="s">
        <v>373</v>
      </c>
      <c r="B6" s="5" t="s">
        <v>374</v>
      </c>
    </row>
    <row r="7" customFormat="false" ht="51.75" hidden="false" customHeight="true" outlineLevel="0" collapsed="false">
      <c r="A7" s="4" t="s">
        <v>375</v>
      </c>
      <c r="B7" s="5" t="s">
        <v>376</v>
      </c>
    </row>
    <row r="8" customFormat="false" ht="30" hidden="false" customHeight="true" outlineLevel="0" collapsed="false">
      <c r="A8" s="4" t="s">
        <v>377</v>
      </c>
      <c r="B8" s="5" t="s">
        <v>378</v>
      </c>
    </row>
    <row r="9" customFormat="false" ht="39" hidden="false" customHeight="true" outlineLevel="0" collapsed="false">
      <c r="A9" s="4" t="s">
        <v>177</v>
      </c>
      <c r="B9" s="5" t="s">
        <v>379</v>
      </c>
    </row>
    <row r="10" customFormat="false" ht="39" hidden="false" customHeight="true" outlineLevel="0" collapsed="false">
      <c r="A10" s="4" t="s">
        <v>380</v>
      </c>
      <c r="B10" s="5" t="s">
        <v>381</v>
      </c>
    </row>
    <row r="11" customFormat="false" ht="39" hidden="false" customHeight="true" outlineLevel="0" collapsed="false">
      <c r="A11" s="4" t="s">
        <v>382</v>
      </c>
      <c r="B11" s="5" t="s">
        <v>383</v>
      </c>
    </row>
    <row r="12" customFormat="false" ht="30" hidden="false" customHeight="true" outlineLevel="0" collapsed="false">
      <c r="A12" s="4" t="s">
        <v>384</v>
      </c>
      <c r="B12" s="5" t="s">
        <v>385</v>
      </c>
    </row>
    <row r="13" customFormat="false" ht="30" hidden="false" customHeight="true" outlineLevel="0" collapsed="false">
      <c r="A13" s="4" t="s">
        <v>386</v>
      </c>
      <c r="B13" s="5" t="s">
        <v>27</v>
      </c>
    </row>
    <row r="14" customFormat="false" ht="18.75" hidden="false" customHeight="true" outlineLevel="0" collapsed="false">
      <c r="A14" s="6" t="s">
        <v>387</v>
      </c>
      <c r="B14" s="68" t="s">
        <v>388</v>
      </c>
    </row>
    <row r="15" customFormat="false" ht="18.75" hidden="false" customHeight="true" outlineLevel="0" collapsed="false">
      <c r="A15" s="6" t="s">
        <v>389</v>
      </c>
      <c r="B15" s="68" t="s">
        <v>390</v>
      </c>
    </row>
  </sheetData>
  <printOptions headings="false" gridLines="false" gridLinesSet="true" horizontalCentered="false" verticalCentered="false"/>
  <pageMargins left="0.35" right="0.35" top="0.5" bottom="0.5" header="0.511811023622047" footer="0.5"/>
  <pageSetup paperSize="1" scale="100" fitToWidth="1" fitToHeight="0" pageOrder="downThenOver" orientation="portrait" blackAndWhite="false" draft="false" cellComments="none" horizontalDpi="300" verticalDpi="300" copies="1"/>
  <headerFooter differentFirst="false" differentOddEven="false">
    <oddHeader/>
    <oddFooter>&amp;C&amp;8 All figures are hypothetical and illustrative.&amp;R&amp;8 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2026-08-06T03:22:46Z</dcterms:created>
  <dc:creator>openpyxl</dc:creator>
  <dc:description/>
  <dc:language>en-US</dc:language>
  <cp:lastModifiedBy/>
  <dcterms:modified xsi:type="dcterms:W3CDTF">2026-08-07T00:16:54Z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